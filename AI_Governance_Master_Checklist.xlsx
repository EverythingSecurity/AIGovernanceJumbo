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caira/myAIcontrolsframework/"/>
    </mc:Choice>
  </mc:AlternateContent>
  <xr:revisionPtr revIDLastSave="0" documentId="13_ncr:1_{771D3382-1D51-9B4C-AF4D-823E35398BD4}" xr6:coauthVersionLast="47" xr6:coauthVersionMax="47" xr10:uidLastSave="{00000000-0000-0000-0000-000000000000}"/>
  <bookViews>
    <workbookView xWindow="0" yWindow="660" windowWidth="29400" windowHeight="18460" tabRatio="500" activeTab="1" xr2:uid="{00000000-000D-0000-FFFF-FFFF00000000}"/>
  </bookViews>
  <sheets>
    <sheet name="License &amp; Disclaimer" sheetId="1" r:id="rId1"/>
    <sheet name="Summary" sheetId="5" r:id="rId2"/>
    <sheet name="Read Me" sheetId="2" r:id="rId3"/>
    <sheet name="1 CIA-Security Controls" sheetId="3" r:id="rId4"/>
    <sheet name="2 Non-CIA (Other) Controls" sheetId="4" r:id="rId5"/>
    <sheet name="3 EU AI Act" sheetId="6" r:id="rId6"/>
    <sheet name="4 OECD AI Principles" sheetId="7" r:id="rId7"/>
    <sheet name="5 NIST AI RMF" sheetId="8" r:id="rId8"/>
    <sheet name="6 ISO 42005 Impact Assessment" sheetId="9" r:id="rId9"/>
    <sheet name="7 ISO 27001" sheetId="10" r:id="rId10"/>
    <sheet name="8 ISO 17021 Alignment" sheetId="11" r:id="rId11"/>
    <sheet name="9 GDPR" sheetId="12" r:id="rId12"/>
    <sheet name="10 OWASP LLM Top 10" sheetId="13" r:id="rId13"/>
    <sheet name="11 ISO 27701 PIMS" sheetId="14" r:id="rId14"/>
    <sheet name="12 Master Control List" sheetId="15" r:id="rId15"/>
    <sheet name="13 Domain Crosswalk" sheetId="16" r:id="rId16"/>
    <sheet name="14 Privacy by Design" sheetId="17" r:id="rId17"/>
    <sheet name="15 ISO 31700 PbD (Consumer)" sheetId="18" r:id="rId18"/>
    <sheet name="16 DORA" sheetId="19" r:id="rId19"/>
    <sheet name="17 NIST ARIA" sheetId="20" r:id="rId20"/>
    <sheet name="18 FAIR Risk Methodology" sheetId="21" r:id="rId21"/>
    <sheet name="19 Data Governance Register" sheetId="22" r:id="rId22"/>
    <sheet name="20 ISO 5181 Data Provenance" sheetId="23" r:id="rId23"/>
    <sheet name="21 ISO 27090 AI Threats" sheetId="24" r:id="rId24"/>
    <sheet name="22 MITRE ATLAS" sheetId="25" r:id="rId25"/>
  </sheets>
  <definedNames>
    <definedName name="_xlnm._FilterDatabase" localSheetId="3" hidden="1">'1 CIA-Security Controls'!$A$3:$N$23</definedName>
    <definedName name="_xlnm._FilterDatabase" localSheetId="12" hidden="1">'10 OWASP LLM Top 10'!$A$3:$M$13</definedName>
    <definedName name="_xlnm._FilterDatabase" localSheetId="13" hidden="1">'11 ISO 27701 PIMS'!$A$3:$L$29</definedName>
    <definedName name="_xlnm._FilterDatabase" localSheetId="14" hidden="1">'12 Master Control List'!$A$3:$L$592</definedName>
    <definedName name="_xlnm._FilterDatabase" localSheetId="15" hidden="1">'13 Domain Crosswalk'!$A$3:$F$35</definedName>
    <definedName name="_xlnm._FilterDatabase" localSheetId="16" hidden="1">'14 Privacy by Design'!$A$3:$L$30</definedName>
    <definedName name="_xlnm._FilterDatabase" localSheetId="17" hidden="1">'15 ISO 31700 PbD (Consumer)'!$A$3:$L$37</definedName>
    <definedName name="_xlnm._FilterDatabase" localSheetId="18" hidden="1">'16 DORA'!$A$3:$L$40</definedName>
    <definedName name="_xlnm._FilterDatabase" localSheetId="19" hidden="1">'17 NIST ARIA'!$A$3:$L$23</definedName>
    <definedName name="_xlnm._FilterDatabase" localSheetId="20" hidden="1">'18 FAIR Risk Methodology'!$A$3:$L$30</definedName>
    <definedName name="_xlnm._FilterDatabase" localSheetId="21" hidden="1">'19 Data Governance Register'!$A$24:$Q$51</definedName>
    <definedName name="_xlnm._FilterDatabase" localSheetId="4" hidden="1">'2 Non-CIA (Other) Controls'!$A$3:$K$57</definedName>
    <definedName name="_xlnm._FilterDatabase" localSheetId="22" hidden="1">'20 ISO 5181 Data Provenance'!$A$3:$L$19</definedName>
    <definedName name="_xlnm._FilterDatabase" localSheetId="23" hidden="1">'21 ISO 27090 AI Threats'!$A$3:$L$24</definedName>
    <definedName name="_xlnm._FilterDatabase" localSheetId="24" hidden="1">'22 MITRE ATLAS'!$A$3:$L$23</definedName>
    <definedName name="_xlnm._FilterDatabase" localSheetId="5" hidden="1">'3 EU AI Act'!$A$13:$M$56</definedName>
    <definedName name="_xlnm._FilterDatabase" localSheetId="6" hidden="1">'4 OECD AI Principles'!$A$3:$L$20</definedName>
    <definedName name="_xlnm._FilterDatabase" localSheetId="7" hidden="1">'5 NIST AI RMF'!$A$3:$L$26</definedName>
    <definedName name="_xlnm._FilterDatabase" localSheetId="8" hidden="1">'6 ISO 42005 Impact Assessment'!$A$3:$L$28</definedName>
    <definedName name="_xlnm._FilterDatabase" localSheetId="9" hidden="1">'7 ISO 27001'!$A$3:$L$139</definedName>
    <definedName name="_xlnm._FilterDatabase" localSheetId="10" hidden="1">'8 ISO 17021 Alignment'!$A$3:$N$52</definedName>
    <definedName name="_xlnm._FilterDatabase" localSheetId="11" hidden="1">'9 GDPR'!$A$3:$L$51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5" i="5" l="1"/>
  <c r="G104" i="5"/>
  <c r="F104" i="5"/>
  <c r="E104" i="5"/>
  <c r="D104" i="5"/>
  <c r="C104" i="5"/>
  <c r="B104" i="5" s="1"/>
  <c r="B100" i="5"/>
  <c r="G99" i="5"/>
  <c r="F99" i="5"/>
  <c r="E99" i="5"/>
  <c r="H99" i="5" s="1"/>
  <c r="D99" i="5"/>
  <c r="C99" i="5"/>
  <c r="B99" i="5"/>
  <c r="B95" i="5"/>
  <c r="G94" i="5"/>
  <c r="F94" i="5"/>
  <c r="E94" i="5"/>
  <c r="D94" i="5"/>
  <c r="C94" i="5"/>
  <c r="B94" i="5" s="1"/>
  <c r="B90" i="5"/>
  <c r="G89" i="5"/>
  <c r="F89" i="5"/>
  <c r="E89" i="5"/>
  <c r="D89" i="5"/>
  <c r="C89" i="5"/>
  <c r="B89" i="5" s="1"/>
  <c r="H89" i="5" s="1"/>
  <c r="B85" i="5"/>
  <c r="G84" i="5"/>
  <c r="F84" i="5"/>
  <c r="E84" i="5"/>
  <c r="H84" i="5" s="1"/>
  <c r="D84" i="5"/>
  <c r="C84" i="5"/>
  <c r="B84" i="5" s="1"/>
  <c r="B80" i="5"/>
  <c r="G79" i="5"/>
  <c r="F79" i="5"/>
  <c r="E79" i="5"/>
  <c r="D79" i="5"/>
  <c r="C79" i="5"/>
  <c r="B79" i="5" s="1"/>
  <c r="B75" i="5"/>
  <c r="G74" i="5"/>
  <c r="F74" i="5"/>
  <c r="E74" i="5"/>
  <c r="H74" i="5" s="1"/>
  <c r="D74" i="5"/>
  <c r="C74" i="5"/>
  <c r="B74" i="5"/>
  <c r="B70" i="5"/>
  <c r="G69" i="5"/>
  <c r="F69" i="5"/>
  <c r="E69" i="5"/>
  <c r="D69" i="5"/>
  <c r="C69" i="5"/>
  <c r="B69" i="5" s="1"/>
  <c r="G64" i="5"/>
  <c r="F64" i="5"/>
  <c r="E64" i="5"/>
  <c r="D64" i="5"/>
  <c r="B64" i="5" s="1"/>
  <c r="C64" i="5"/>
  <c r="B60" i="5"/>
  <c r="G59" i="5"/>
  <c r="F59" i="5"/>
  <c r="E59" i="5"/>
  <c r="H59" i="5" s="1"/>
  <c r="D59" i="5"/>
  <c r="C59" i="5"/>
  <c r="B59" i="5"/>
  <c r="G55" i="5"/>
  <c r="F55" i="5"/>
  <c r="E55" i="5"/>
  <c r="H55" i="5" s="1"/>
  <c r="D55" i="5"/>
  <c r="C55" i="5"/>
  <c r="B55" i="5"/>
  <c r="B51" i="5"/>
  <c r="G50" i="5"/>
  <c r="F50" i="5"/>
  <c r="E50" i="5"/>
  <c r="D50" i="5"/>
  <c r="C50" i="5"/>
  <c r="B50" i="5" s="1"/>
  <c r="H50" i="5" s="1"/>
  <c r="B46" i="5"/>
  <c r="G45" i="5"/>
  <c r="F45" i="5"/>
  <c r="E45" i="5"/>
  <c r="D45" i="5"/>
  <c r="C45" i="5"/>
  <c r="B45" i="5" s="1"/>
  <c r="B41" i="5"/>
  <c r="G40" i="5"/>
  <c r="F40" i="5"/>
  <c r="E40" i="5"/>
  <c r="D40" i="5"/>
  <c r="C40" i="5"/>
  <c r="B40" i="5" s="1"/>
  <c r="B36" i="5"/>
  <c r="G35" i="5"/>
  <c r="F35" i="5"/>
  <c r="E35" i="5"/>
  <c r="H35" i="5" s="1"/>
  <c r="D35" i="5"/>
  <c r="C35" i="5"/>
  <c r="B35" i="5"/>
  <c r="B31" i="5"/>
  <c r="G30" i="5"/>
  <c r="F30" i="5"/>
  <c r="E30" i="5"/>
  <c r="H30" i="5" s="1"/>
  <c r="D30" i="5"/>
  <c r="C30" i="5"/>
  <c r="B30" i="5"/>
  <c r="B26" i="5"/>
  <c r="G25" i="5"/>
  <c r="F25" i="5"/>
  <c r="E25" i="5"/>
  <c r="D25" i="5"/>
  <c r="C25" i="5"/>
  <c r="B25" i="5" s="1"/>
  <c r="H25" i="5" s="1"/>
  <c r="B21" i="5"/>
  <c r="G20" i="5"/>
  <c r="F20" i="5"/>
  <c r="E20" i="5"/>
  <c r="H20" i="5" s="1"/>
  <c r="D20" i="5"/>
  <c r="C20" i="5"/>
  <c r="B20" i="5" s="1"/>
  <c r="B16" i="5"/>
  <c r="B15" i="5"/>
  <c r="B14" i="5"/>
  <c r="B13" i="5"/>
  <c r="F10" i="5"/>
  <c r="F9" i="5"/>
  <c r="E9" i="5"/>
  <c r="D9" i="5"/>
  <c r="C9" i="5"/>
  <c r="G8" i="5"/>
  <c r="F8" i="5"/>
  <c r="H8" i="5" s="1"/>
  <c r="E8" i="5"/>
  <c r="D8" i="5"/>
  <c r="C8" i="5"/>
  <c r="B8" i="5"/>
  <c r="G7" i="5"/>
  <c r="G9" i="5" s="1"/>
  <c r="G10" i="5" s="1"/>
  <c r="F7" i="5"/>
  <c r="E7" i="5"/>
  <c r="D7" i="5"/>
  <c r="C7" i="5"/>
  <c r="B7" i="5" s="1"/>
  <c r="G6" i="5"/>
  <c r="F6" i="5"/>
  <c r="E6" i="5"/>
  <c r="D6" i="5"/>
  <c r="D10" i="5" s="1"/>
  <c r="G5" i="5"/>
  <c r="F5" i="5"/>
  <c r="E5" i="5"/>
  <c r="H5" i="5" s="1"/>
  <c r="D5" i="5"/>
  <c r="C5" i="5"/>
  <c r="B5" i="5"/>
  <c r="H4" i="5"/>
  <c r="G4" i="5"/>
  <c r="F4" i="5"/>
  <c r="E4" i="5"/>
  <c r="D4" i="5"/>
  <c r="C4" i="5"/>
  <c r="C6" i="5" s="1"/>
  <c r="C10" i="5" s="1"/>
  <c r="B4" i="5"/>
  <c r="B6" i="5" s="1"/>
  <c r="H45" i="5" l="1"/>
  <c r="H6" i="5"/>
  <c r="H79" i="5"/>
  <c r="H40" i="5"/>
  <c r="B10" i="5"/>
  <c r="H9" i="5"/>
  <c r="H69" i="5"/>
  <c r="H94" i="5"/>
  <c r="H104" i="5"/>
  <c r="H64" i="5"/>
  <c r="B9" i="5"/>
  <c r="H7" i="5"/>
  <c r="E10" i="5"/>
  <c r="H10" i="5" l="1"/>
</calcChain>
</file>

<file path=xl/sharedStrings.xml><?xml version="1.0" encoding="utf-8"?>
<sst xmlns="http://schemas.openxmlformats.org/spreadsheetml/2006/main" count="10156" uniqueCount="3129">
  <si>
    <t>License &amp; Disclaimer</t>
  </si>
  <si>
    <t>License</t>
  </si>
  <si>
    <t>Apache License 2.0 - https://www.apache.org/licenses/LICENSE-2.0</t>
  </si>
  <si>
    <t>Copyright</t>
  </si>
  <si>
    <t>Copyright 2026 Mayank</t>
  </si>
  <si>
    <t>Version</t>
  </si>
  <si>
    <t>0.1.0 (2026-10-21)</t>
  </si>
  <si>
    <t>Disclaimer</t>
  </si>
  <si>
    <t>Not legal or audit advice. Requirement text is a condensed paraphrase; verify against the authoritative source. CIA classifications, domain groupings and cross-framework mappings are expert judgement. Provided AS IS. Standards referenced remain the property of their publishers; see NOTICE and DISCLAIMER.md.</t>
  </si>
  <si>
    <t>OWASP LLM Top 10</t>
  </si>
  <si>
    <t>(c) OWASP Foundation, CC BY-SA 4.0; paraphrased, attribution required.</t>
  </si>
  <si>
    <t>MITRE ATLAS</t>
  </si>
  <si>
    <t>(c) The MITRE Corporation; Apache-2.0.</t>
  </si>
  <si>
    <t>ISO/IEC</t>
  </si>
  <si>
    <t>(c) ISO/IEC; referenced by clause number and paraphrased only.</t>
  </si>
  <si>
    <t>Examples</t>
  </si>
  <si>
    <t>Rows with Row ID 'EX-*' in tab 19 are fictional examples.</t>
  </si>
  <si>
    <t>ISO/IEC 42001:2023 (AIMS) - CIA-Security vs Remaining Controls Checklist</t>
  </si>
  <si>
    <t>Scope: Clauses 4-10 (32 items) and Annex A (38 controls), segregated into two working sheets so security effort is clearly separated from the rest.</t>
  </si>
  <si>
    <t>Sheet 1 - CIA-Security Controls: items whose primary purpose is to protect the Confidentiality, Integrity or Availability of information/AI assets (data, models, code, infrastructure, logs, documented information). Columns C / I / A show which property each item protects. These need security ownership (CISO/security architecture) and technical evidence.</t>
  </si>
  <si>
    <t>Sheet 2 - Non-CIA (Other) Controls: governance, leadership, risk planning (general), impact assessment on individuals/society, fairness/ethics, transparency, competence, documentation, performance evaluation, improvement. Owned by AI governance, compliance, legal, HR, product. Column F notes where an item still enables security indirectly.</t>
  </si>
  <si>
    <t>Judgement rule: an item is CIA-security only if a failure of the requirement would directly expose AI assets to unauthorized access/disclosure (C), unauthorized alteration/poisoning/loss of trustworthiness (I), or loss of access/service (A). Privacy/lawfulness of data use is treated as governance unless the requirement itself is about protecting the data.</t>
  </si>
  <si>
    <t>The classification is expert judgement for audit planning, not part of the standard. Adjust to your risk assessment; move a row between sheets if your context requires.</t>
  </si>
  <si>
    <t>How to use: set 'Applicable (SoA)', track 'Status', assign Owner, note gaps. Clauses 4-10 are mandatory; Annex A exclusions need justification (clause 6.1.3). Requirement text is a condensed paraphrase - verify against ISO/IEC 42001:2023 (Annex B guidance).</t>
  </si>
  <si>
    <t>Counts: CIA-security = 18 items; Non-CIA = 52 items; total = 70.</t>
  </si>
  <si>
    <t>Tab 3 - EU AI Act: 34 articles/annex items relevant to security governance and high-risk AI compliance, of which 12 are marked CIA-security (mainly Art.15 Accuracy/Robustness/Cybersecurity, Art.9 risk management, Art.10 data governance, Art.12/19 logging, Art.26 deployer logging/monitoring, Art.55 GPAI systemic-risk cybersecurity, Art.72 post-market monitoring, Art.73 incident reporting).</t>
  </si>
  <si>
    <t>Tab 4 - OECD AI Principles (updated May 2024): 14 items across the 5 values-based principles, 5 policy recommendations and 4 update focus areas, of which 3 are marked CIA-security (mainly 1.4 Robustness, security and safety, plus 1.2 privacy and 1.5 accountability/traceability).</t>
  </si>
  <si>
    <t>Tab 5 - NIST AI RMF 1.0 (NIST.AI.100-1): 19 categories across GOVERN (6), MAP (5), MEASURE (4) and MANAGE (4) - the framework's full structure is 19 categories / 72 subcategories; this tab tracks at category level. 6 categories are marked CIA-security (Govern 6, Map 4 and Manage 3 - third-party/supply-chain risk; Measure 2 - secure &amp; resilient testing; Measure 3 - risk tracking/monitoring; Manage 4 - incident response and recovery). Suggested actions are condensed from the AI RMF Playbook; verify against NIST.AI.100-1 and the Playbook for subcategory-level detail.</t>
  </si>
  <si>
    <t>Tab 6 - ISO/IEC 42005:2025 (AI System Impact Assessment guidance): 21 items covering Clause 5 (developing/implementing the AISIA process), Clause 6 (documenting the AISIA) and the informative annexes (incl. Annex A linking to ISO/IEC 42001 clauses 6.1.2/6.1.4/A.5, Annex B linking to ISO/IEC 23894, and the Annex E AISIA template). 3 items are marked CIA-security (impact identification covering security-related harms, integrity of assessment records, confidentiality/access control of records). ISO/IEC 42005 is a guidance document (not a certifiable requirements standard); Clause 5/6 sub-points here are a thematic breakdown of its content, not verbatim numbered subclauses - verify structure and wording against the purchased standard.</t>
  </si>
  <si>
    <t>Tab 7 - ISO/IEC 27001:2022: 123 items - Clauses 4-10 (30, mandatory ISMS requirements) and Annex A (93 controls). 85 are marked CIA-security. Because ISO/IEC 27001 is itself the information security management standard, most Annex A controls are directly CIA-relevant; the few left unmarked (e.g. 5.1 policies, 5.2 roles, 5.35/5.36 review/compliance, 6.1-6.4 people governance) are administrative/process requirements needed to run the ISMS rather than controls that themselves protect confidentiality, integrity or availability.</t>
  </si>
  <si>
    <t>Tab 8 - ISO/IEC 17021-1:2015 (requirements for bodies providing audit and certification of management systems): 42 items across Clauses 4-10. The standard governs certification bodies, not certified organizations, so each row gives the CB requirement plus an 'audit-readiness alignment' column showing what your organization should have ready for a certification audit run under it, with cross-references to ISO 27001 / ISO 42001. 11 items are marked CIA-security (confidentiality of client information, integrity of certificates/marks/decisions, protection of audit records). Sector-specific companions apply on top: ISO/IEC 27006-1 (ISMS certification bodies) and ISO/IEC 42006 (AI management system certification bodies) - verify current editions. Subclause numbering follows the 2015 edition; verify against the standard.</t>
  </si>
  <si>
    <t>Tab 9 - GDPR (Regulation (EU) 2016/679): 39 articles/groups spanning principles, lawful basis, data subject rights, controller/processor obligations, security (Art.32), breach notification (Art.33-34), DPIA (Art.35), DPO (Art.37-39), international transfers and penalties. 13 items are marked CIA-security - the core one is Art.32 (Security of processing), which explicitly requires confidentiality, integrity, availability and resilience; Art.33/34 breach notification, Art.24/25 (security-by-design), Art.28 processor contracts and Art.5(1)(f)/9/10/35/46 round out the set. The remaining articles are rights-based, procedural or governance obligations. Requirement text is a condensed paraphrase for compliance planning, not legal advice - verify against the consolidated GDPR text and get qualified legal counsel for interpretation.</t>
  </si>
  <si>
    <t>Tab 10 - OWASP Top 10 for LLM Applications 2025 (v2.0, published 18 Nov 2024 by the OWASP GenAI Security Project): all 10 risks (LLM01-LLM10), every one CIA-marked - unlike governance frameworks, this list is entirely a security taxonomy, so each risk maps directly to confidentiality, integrity and/or availability impact. Status defaults include 'Accepted risk' since some risks (e.g. LLM09 Misinformation) may be mitigated rather than eliminated. This list applies to LLM/RAG/chatbot applications; if you also run autonomous multi-step agents, the companion OWASP Top 10 for Agentic AI Applications adds agent-specific risks (e.g. tool misuse, memory poisoning, cascading failures) on top of this list - ask if you want that added as a further tab. Cross-reference: these risks are the practical, attack-level detail behind ISO 42001 A.6.2.4 (verification/validation), EU AI Act Art.15 (accuracy/robustness/cybersecurity), and NIST AI RMF Measure 2 (secure &amp; resilient testing) in the other tabs.</t>
  </si>
  <si>
    <t>Tab 11 - ISO/IEC 27701:2019 (PIMS - extension to ISO/IEC 27001/27002 for privacy): 22 items covering Clause 5 (PIMS-specific requirements extending ISO 27001 clauses 4-10), Clause 6 (privacy overlay on the ISO 27002/27001 Annex A control themes), Clause 7 (additional guidance for PII controllers), Clause 8 (additional guidance for PII processors), and Annexes A/B/C-E. 7 items are marked CIA-security - mainly the privacy risk assessment (5.4), technological controls (6.T), and privacy-by-design/minimisation, disposal, sharing/transfer/disclosure and breach-notification items (7.4, 7.5, 8.4, 8.5) that directly protect the confidentiality and integrity of PII. Clause 7/8 and Annex A/B are shown at category level (2019 edition groups ~31 controller and ~18 processor controls under these four categories each); verify individual control wording against the purchased standard, and note ISO/IEC 27701:2025 has since been published as a standalone PIMS standard rather than an ISO 27001 extension. Tab 9 (GDPR) is the closest cross-reference, since Annex D of 27701 maps directly to GDPR articles.</t>
  </si>
  <si>
    <t>Tab 12 - Master Control List: every item from all 19 framework tabs (557 in total, refreshed to include Tabs 3-11 and 14-22; Tab 19's Data Governance Register is a working template, not a checklist, and is excluded from this count) in one flat, filterable list, grouped by 32 common control domains that cut across frameworks (e.g. Access Control, Risk Assessment, Logging/Monitoring, Incident Management, MITRE ATLAS Tactics, Risk Quantification). Use column A's autofilter to isolate one domain and see every framework's equivalent requirement side by side. Status/Applicable/Owner columns here are for a consolidated, program-level view; the individual framework tabs remain the source of truth for formal audit evidence per standard. This list is rebuilt from the framework tabs as they stood when last refreshed - if you add or edit a framework tab afterward, ask for this tab (and Tab 13) to be refreshed again to stay in sync.</t>
  </si>
  <si>
    <t>Tab 13 - Domain Crosswalk (Overlap Map): one row per control domain (32 total), showing which frameworks and specific references fall into it, plus consolidation guidance on the control set to implement once so it substantially addresses every framework listed. This answers 'if I fulfil this control, which others does it also address?' - e.g. one secure-SDLC-plus-red-team programme satisfies ISO 27001, ISO 42001 A.6.2.x, EU AI Act Art.15, NIST Measure 2, OWASP LLM Top 10 and ISO/IEC 27090's threat catalogue at once; one incident response plan with tuned notification timelines covers ISO 27001, GDPR Art.33/34, EU AI Act Art.73 and DORA's 4-hour/72-hour/1-month reporting clock together. The last domain, 'Framework-Specific', lists items with no real cross-framework equivalent (e.g. EU AI Act prohibited practices/scope, OECD broad policy recommendations, ISO 17021 certification-body-only clauses) - these must be addressed individually. Refreshed alongside Tab 12; ask for both to be rebuilt again after adding or editing any framework tab.</t>
  </si>
  <si>
    <t>Domain classification method: each item was matched to a domain by its title/requirement wording using a keyword-based rule set, refined by manual review of edge cases. It is a practical grouping for planning and gap analysis (similar in spirit to a common-controls/crosswalk framework such as the Secure Controls Framework), not an official or certified mapping - a genuine one-to-one equivalence between two standards' wording should still be confirmed against both texts before you rely on it to skip work in an audit.</t>
  </si>
  <si>
    <t>Tab 14 - Privacy by Design: 20 practical design-checklist items structured around Ann Cavoukian's 7 Foundational Principles of Privacy by Design (Ontario IPC, 2009) - the canonical framework the term originates from, referenced in GDPR Recital 78 and underlying GDPR Art.25 (Tab 9). 9 items are marked CIA-security, concentrated in Principle 5 (End-to-End Security - Full Lifecycle Protection), since that principle is explicitly about applying confidentiality/integrity/availability controls across the data lifecycle; Principle 3's privacy-enhancing technologies and Principle 4's privacy/security synergy are also marked. No single ISO/IEC standard number covers 'privacy by design' end-to-end as a certifiable checklist the way ISO 27001 does for security; the closest formal standards are GDPR Art.25 (legal requirement, Tab 9), ISO/IEC 27701 Clause 7.4/8.4 (Tab 11, PIMS requirements), and ISO/IEC 31700-1:2023 (Consumer protection - Privacy by design for consumer goods and services, a newer ISO standard specifically for consumer products/services) - this tab's items are written to be consistent with all three but are not a verbatim reproduction of any one text.</t>
  </si>
  <si>
    <t>Tab 15 - ISO/IEC 31700-1:2023 and ISO/IEC TR 31700-2:2023 (Consumer protection - Privacy by design for consumer goods and services): 28 items, structured on Part 1's verified table of contents - Clause 4 General (organizational foundations, 8 sub-clauses), Clause 5 Consumer communication requirements (5), Clause 6 Risk management requirements (5), Clause 7 Developing/deploying/operating privacy controls (8), and Clause 8 End of PII lifecycle requirements (1). Part 2 is a Technical Report of illustrative use cases (not independently certifiable requirements) mapped to Part 1's clauses, shown here as one informative reference row. 14 items are marked CIA-security, concentrated in Clause 6 (privacy risk assessment, and explicitly linking privacy risk to cybersecurity resilience design in 6.6), Clause 7 (designing/implementing/testing/operating privacy controls and managing privacy breaches), and breach-related items in 5.6 and 8.2. Unlike Tab 14 (Cavoukian's 7 principles, a general design philosophy), this is a certifiable ISO standard specifically for consumer-facing goods and services - use Tab 14 for the underlying philosophy and this tab for the ISO-structured, auditable requirement set.</t>
  </si>
  <si>
    <t>Tab 16 - DORA (Regulation (EU) 2022/2554, Digital Operational Resilience Act): 29 items drawn from the operative chapters - Chapter I Scope/Proportionality, Chapter II ICT risk management (Art.5-16), Chapter III incident management/classification/reporting (Art.17-23), Chapter IV resilience testing incl. TLPT (Art.24-27), Chapter V ICT third-party risk incl. Register of Information and CTPP oversight (Art.28-42, summarised), Chapter VI information sharing (Art.45), and a summary of Chapters VII-IX (supervisory powers/penalties, application date). 18 items are marked CIA-security - DORA is a financial-sector operational-resilience regulation, so most of Chapter II (protection, detection, response/recovery, backups) and the testing/incident chapters are directly CIA-relevant, with Art.11/12 and Art.29 specifically tied to availability. Applies to EU-regulated financial entities (see Art.2) and, via Chapter V, to their ICT third-party providers - relevant to Ooredoo's banking/financial-services engagements and any EU-regulated counterparties. DORA has applied since 17 January 2025; numerous Regulatory/Implementing Technical Standards (RTS/ITS) referenced in the articles above add further detail and should be checked for the current version.</t>
  </si>
  <si>
    <t>Tab 17 - NIST ARIA (Assessing Risks and Impacts of AI): 14 items. IMPORTANT DIFFERENCE FROM OTHER TABS - ARIA is a NIST AI Innovation Lab research TEVV (test, evaluation, validation, verification) PROGRAM, not a certifiable compliance standard with numbered clauses; NIST explicitly states it is not a certification programme. So this tab is a readiness/alignment checklist rather than a requirements checklist: it is organized around ARIA's own three-tier evaluation structure (Model Testing - confirm claimed capabilities; Red Teaming - stress test and attempt to induce risks; Field Testing - examine real-world impacts) plus its composite measurement instrument, the Contextual Robustness Index (CoRIx, ten dimensions including the seven AI RMF trustworthy characteristics - the exact remaining three dimensions beyond those seven were not confirmed from public sources at time of writing and should be checked against NIST's current ARIA Evaluation Design Document). 6 items are marked CIA-security, concentrated in Red Teaming (adversarial testing is explicitly a security-attack simulation) and the 'secure and resilient' CoRIx dimension. ARIA 0.1 currently focuses on LLM applications and is evolving; check https://ai-challenges.nist.gov/aria for the current pilot status, data-handling rules, and whether formal participation is open before committing a system for evaluation. ARIA builds directly on the NIST AI RMF (Tab 5) and the NIST AI 600-1 GenAI Profile risks, so align this tab's items with Tab 5's Measure function rather than treating ARIA engagement as a separate programme.</t>
  </si>
  <si>
    <t>Tab 18 - FAIR (Factor Analysis of Information Risk) Risk Methodology: 24 items. Built on FAIR as this is the widely-adopted quantitative cyber risk methodology (standardized by the Open Group as Open FAIR O-RA/O-RT, and maintained by the FAIR Institute) - no verified framework named 'FIAR' was found; this tab assumes that was the intended reference. Structured in three parts: the core FAIR taxonomy (Risk, Loss Event Frequency, Threat Event Frequency, Threat Capability, Resistance/Control Strength, Vulnerability, Probable Loss Magnitude and the six forms of loss), the four-stage/ten-step risk assessment process (identify asset and threat community; estimate TEF, TCap and control strength; derive vulnerability and LEF; estimate worst-case and probable loss magnitude; derive and articulate risk, typically via Monte Carlo simulation into a loss exceedance curve), and organizational governance requirements for running FAIR properly (calibrated estimation training, consistent taxonomy, peer review, tooling, integration with the existing risk register, and periodic validation against the Open Group's general requirements for risk assessment methodologies). 13 items are marked CIA-security because FAIR scenarios ultimately quantify the frequency and magnitude of loss from confidentiality, integrity and availability-impacting events - this complements rather than replaces the qualitative risk-assessment clauses already in ISO 27001 (6.1.2/8.2, Tab 7) and ISO 42001 (6.1.2/8.2, Tabs 1-2): use FAIR to add quantified, financial risk expression on top of those existing risk registers for the highest-priority scenarios.</t>
  </si>
  <si>
    <t>Tab 3 update - a Role Legend (Provider, Deployer, Authorised Representative, Importer, Distributor, Product Manufacturer, Operator umbrella term, GPAI Model Provider - each with its Art.3 definition and key responsibilities) was added at the top of the EU AI Act tab, and a new 'Applicable Role(s) &amp; Responsibilities' column was added to every article row showing which role(s) that specific article binds and what each must do.</t>
  </si>
  <si>
    <t>Tab 19 - Data Lineage, Provenance &amp; Governance Register: a working template (not a checklist) for cataloguing datasets - especially AI training/operational data - with 16 DAMA-DMBOK-aligned fields (lineage, provenance, source entry, collection method, version information, data licensing, access rights, intended use/purpose limitation, jurisdictional considerations, context, plus data quality notes, ownership and status). A field guide at the top maps each column to the relevant DAMA International Data Management Body of Knowledge (DAMA-DMBOK) knowledge area - principally Data Governance, Metadata Management, Data Security Management, Data Quality, and Data Architecture - so the rationale for each field is traceable to DAMA guidance rather than invented ad hoc. Two illustrative example rows (generic, not representing real organizational data) show how to complete it, followed by 25 blank rows ready for use. This register operationalizes items already tracked elsewhere in this workbook: ISO 42001 A.7.x data governance (Tabs 1-2), EU AI Act Art.10 data governance (Tab 3), GDPR Records of Processing (Art.30, Tab 9) and cross-border transfer provisions (Art.44-49, Tab 9), and the 'Data Governance, Quality &amp; Provenance' domain in the crosswalk (Tab 13) - use this tab as the detailed, per-dataset evidence that satisfies those higher-level clauses.</t>
  </si>
  <si>
    <t>Tab 20 - ISO/IEC 5181 (Information security, cybersecurity and privacy protection - Data provenance): 13 items. VERIFIED: title, scope and status were confirmed directly from ISO/IEC JTC 1/SC 27's own listing (iso.org/standard/80971.html) - the standard is real, in final production, expected to publish around October 2026. NOT YET VERIFIED: numbered clause structure - the standard's public text/table of contents is not yet available because it has not been published, so the items in this tab (sections 'T.1'-'T.6' and 'AI.1'-'AI.5') are a topical breakdown inferred from the official scope statement and typical SC27 provenance-standard conventions, not verified clause numbers. Re-check this tab against the published text once ISO/IEC 5181 is formally released, and update references accordingly. 8 items are marked CIA-security, since the standard's own scope is specifically about deriving provenance metadata 'securely' - integrity (tamper-evident, trustworthy provenance records) is the dominant property, with confidentiality relevant to sensitive provenance details and availability relevant to long-term retention. The AI-specific section (AI.1-AI.5) applies the standard's data-asset-provenance techniques to AI training/operational datasets and model lineage, and cross-references ISO 42001 A.7.5 (Tabs 1-2), EU AI Act Art.10 (Tab 3), the Data Governance Register (Tab 19), and OWASP LLM03 Supply Chain (Tab 10). AI.4 also flags that provenance/authenticity of AI-GENERATED content (e.g. deepfake watermarking) is handled by separate content-provenance mechanisms such as C2PA, not by ISO/IEC 5181 itself, which is scoped to data-asset provenance.</t>
  </si>
  <si>
    <t>Tab 21 - ISO/IEC 27090:2026 (Cybersecurity - Artificial Intelligence - Addressing security threats and compromises to AI systems): 17 items. VERIFIED: this is a genuinely published standard (first edition, October 2026, ISO/IEC JTC 1/SC 27/WG 4), with confirmed structure - Clause 5 Application of information security, Clause 6 Types of potential compromise (the threat catalogue, 12+ scenarios), Clause 7 Mitigations and their interactions, Annex A life-cycle/asset mapping, Annex B AI-specific versions of conventional attacks, Annex C federated machine learning. Clause 6 is itemised here against its named threats (data/model poisoning, evasion, membership inference, model inversion, model stealing, prompt/output injection); 6.8 flags that the full published catalogue has further scenarios beyond these named ones - verify the complete list against the published text. 12 items are marked CIA-security - this is itself purely a security-threat standard, so nearly every item carries a CIA marking; confidentiality dominates the data-extraction threats (membership inference, model inversion, model stealing), integrity dominates the manipulation threats (poisoning, evasion), and prompt/output injection can hit all three depending on what the compromised output feeds into. IMPORTANT SCOPE NOTE (from the standard itself): it addresses threats TO an organization's own AI systems, not threats INVOLVING AI used by attackers against others, and explicitly excludes AI-vs-AI attack scenarios. This tab is the natural ISO-governance companion to Tab 10 (OWASP LLM Top 10) - OWASP's list is LLM/GenAI-specific and community-maintained; ISO/IEC 27090 is broader (any AI system, not just LLMs) and integrates into the ISO 27001/42001 management-system structure already used across this workbook. A privacy counterpart, ISO/IEC 27091 (privacy protection for AI), is referenced in industry commentary as a companion standard - ask if you want that added as a further tab.</t>
  </si>
  <si>
    <t>Tab 22 - MITRE ATLAS (Adversarial Threat Landscape for Artificial-Intelligence Systems): 18 items covering all 16 current ATLAS tactics (Reconnaissance, Resource Development, Initial Access, AI Model Access, Execution, Persistence, Privilege Escalation, Defense Evasion, Credential Access, Discovery, Lateral Movement, Collection, AI Attack Staging, Command and Control, Exfiltration, Impact), verified current as of October 2026. ATLAS mirrors MITRE ATT&amp;CK's structure (tactics as adversary objectives/columns, techniques as methods/rows beneath each, linked to real-world case studies) but is AI/ML-specific; 'AI Model Access' and 'AI Attack Staging' are the two tactics with no direct ATT&amp;CK equivalent and carry the AI-native logic. This tab is deliberately at tactic level (16 rows) rather than enumerating the full ~100+ techniques/sub-techniques, to match the granularity used elsewhere in this workbook - for hands-on red-teaming or detection-engineering work, consult the live matrix at atlas.mitre.org for the current technique list under each tactic, since ATLAS is actively updated (recent releases have added agentic-AI and multi-agent techniques at a fast pace). 15 items are marked CIA-security (Resource Development is the one exception, being purely attacker-side preparation with no direct impact on the target yet). IMPORTANT: ATLAS is a threat-intelligence and red-team/detection reference, not a certifiable compliance checklist like the other standards in this workbook - use it to structure red-team scope and SOC detection use cases, and cross-walk it against your own AI architecture rather than treating every tactic as a control to 'complete'. It complements Tab 10 (OWASP LLM Top 10, which gives the vulnerability-centric view) and Tab 21 (ISO/IEC 27090, which gives the ISO-governance threat view) - ATLAS adds the adversary's full attack-lifecycle perspective with documented real-world case studies behind each technique.</t>
  </si>
  <si>
    <t>ISO/IEC 42001:2023 - Items with Confidentiality / Integrity / Availability involvement (security needed)</t>
  </si>
  <si>
    <t>Ref</t>
  </si>
  <si>
    <t>Source</t>
  </si>
  <si>
    <t>Title</t>
  </si>
  <si>
    <t>Security requirement</t>
  </si>
  <si>
    <t>C</t>
  </si>
  <si>
    <t>I</t>
  </si>
  <si>
    <t>A</t>
  </si>
  <si>
    <t>Why CIA is involved / what must be protected</t>
  </si>
  <si>
    <t>ISO 27001:2022 cross-ref</t>
  </si>
  <si>
    <t>Evidence to verify</t>
  </si>
  <si>
    <t>Applicable (SoA)</t>
  </si>
  <si>
    <t>Status</t>
  </si>
  <si>
    <t>Owner</t>
  </si>
  <si>
    <t>Notes / Gap</t>
  </si>
  <si>
    <t>Clauses 4-10</t>
  </si>
  <si>
    <t>6.1.2</t>
  </si>
  <si>
    <t>Clause</t>
  </si>
  <si>
    <t>AI risk assessment</t>
  </si>
  <si>
    <t>Define and apply an AI risk assessment process: risk criteria, consistent/valid/comparable results, identify risks, analyse potential consequences and likelihood, evaluate and prioritise; retain documented information.</t>
  </si>
  <si>
    <t>●</t>
  </si>
  <si>
    <t>Cover AI-specific threats: data poisoning, model theft/inversion, adversarial inputs, prompt injection, supply chain.</t>
  </si>
  <si>
    <t>6.1.2, A.5.7</t>
  </si>
  <si>
    <t>AI risk methodology, AI risk register and assessments</t>
  </si>
  <si>
    <t>Yes</t>
  </si>
  <si>
    <t>Not started</t>
  </si>
  <si>
    <t>6.1.3</t>
  </si>
  <si>
    <t>AI risk treatment</t>
  </si>
  <si>
    <t>Define AI risk treatment process: select options, determine necessary controls (compare with Annex A), produce Statement of Applicability with justification, formulate treatment plan, obtain approval and residual risk acceptance.</t>
  </si>
  <si>
    <t>Select security controls; compare with ISO 27001 Annex A in SoA.</t>
  </si>
  <si>
    <t>AI risk treatment plan, SoA, residual risk sign-off</t>
  </si>
  <si>
    <t>7.5.3</t>
  </si>
  <si>
    <t>Control of documented information</t>
  </si>
  <si>
    <t>Control availability, protection, distribution, access, storage, version control, retention and disposition; control external-origin documents.</t>
  </si>
  <si>
    <t>Protect confidentiality/integrity/availability of AIMS documents (models, data docs).</t>
  </si>
  <si>
    <t>7.5.3, A.5.33</t>
  </si>
  <si>
    <t>DMS configuration, retention rules</t>
  </si>
  <si>
    <t>8.2</t>
  </si>
  <si>
    <t>Perform AI risk assessments at planned intervals or when significant changes are proposed/occur; retain results.</t>
  </si>
  <si>
    <t>Periodic AI security risk assessment.</t>
  </si>
  <si>
    <t>Dated risk assessment outputs</t>
  </si>
  <si>
    <t>8.3</t>
  </si>
  <si>
    <t>Implement the AI risk treatment plan and retain results of treatment.</t>
  </si>
  <si>
    <t>Implement security risk treatment plan.</t>
  </si>
  <si>
    <t>Treatment plan status, closure evidence</t>
  </si>
  <si>
    <t>Annex A controls</t>
  </si>
  <si>
    <t>A.4.4</t>
  </si>
  <si>
    <t>Annex A</t>
  </si>
  <si>
    <t>Tooling resources</t>
  </si>
  <si>
    <t>Document tooling resources used for the AI system (algorithms, models, libraries, frameworks, MLOps).</t>
  </si>
  <si>
    <t>Secure AI libraries, frameworks, model artifacts, MLOps pipeline.</t>
  </si>
  <si>
    <t>A.5.21, A.8.9, A.8.19, A.8.30</t>
  </si>
  <si>
    <t>Tooling/model registry, SBOM/MLBOM</t>
  </si>
  <si>
    <t>A.4.5</t>
  </si>
  <si>
    <t>System and computing resources</t>
  </si>
  <si>
    <t>Document system and computing resources used (hardware, cloud, compute, storage).</t>
  </si>
  <si>
    <t>Secure compute, cloud and GPU/infrastructure.</t>
  </si>
  <si>
    <t>A.5.23, A.8.6, A.8.9, A.8.20, A.7.8</t>
  </si>
  <si>
    <t>Infrastructure/compute inventory</t>
  </si>
  <si>
    <t>A.6.1.3</t>
  </si>
  <si>
    <t>Processes for responsible AI system design and development</t>
  </si>
  <si>
    <t>Define and document specific processes for responsible design and development of AI systems.</t>
  </si>
  <si>
    <t>Secure-by-design AI SDLC.</t>
  </si>
  <si>
    <t>A.8.25, A.8.27, A.8.28</t>
  </si>
  <si>
    <t>AI SDLC/MLOps procedures, gates</t>
  </si>
  <si>
    <t>A.6.2.2</t>
  </si>
  <si>
    <t>AI system requirements and specification</t>
  </si>
  <si>
    <t>Specify and document requirements for new AI systems or material enhancements.</t>
  </si>
  <si>
    <t>Security requirements and threat modelling for AI.</t>
  </si>
  <si>
    <t>A.8.26, A.8.27, A.5.8</t>
  </si>
  <si>
    <t>Requirements specs incl. risk/impact inputs</t>
  </si>
  <si>
    <t>A.6.2.4</t>
  </si>
  <si>
    <t>AI system verification and validation</t>
  </si>
  <si>
    <t>Define and document verification/validation measures and criteria (performance, bias, robustness, security testing).</t>
  </si>
  <si>
    <t>Adversarial/red-team testing, robustness, vulnerability scanning.</t>
  </si>
  <si>
    <t>A.8.29, A.8.8, A.8.33</t>
  </si>
  <si>
    <t>Test plans, V&amp;V reports, acceptance criteria</t>
  </si>
  <si>
    <t>A.6.2.5</t>
  </si>
  <si>
    <t>AI system deployment</t>
  </si>
  <si>
    <t>Document a deployment plan and ensure appropriate requirements are met before deployment.</t>
  </si>
  <si>
    <t>Secure release, change approval, environment separation.</t>
  </si>
  <si>
    <t>A.8.32, A.8.31, A.8.9</t>
  </si>
  <si>
    <t>Deployment plan, go-live approval</t>
  </si>
  <si>
    <t>A.6.2.6</t>
  </si>
  <si>
    <t>AI system operation and monitoring</t>
  </si>
  <si>
    <t>Define and document elements for ongoing operation: system and performance monitoring, repairs, updates and support.</t>
  </si>
  <si>
    <t>Drift/abuse monitoring, patching, incident detection.</t>
  </si>
  <si>
    <t>A.8.15, A.8.16, A.8.8, A.5.25</t>
  </si>
  <si>
    <t>Monitoring dashboards, drift/performance alerts, update procedures</t>
  </si>
  <si>
    <t>A.6.2.8</t>
  </si>
  <si>
    <t>AI system recording of event logs</t>
  </si>
  <si>
    <t>Determine at which phases of the life cycle event logs should be enabled, at minimum when the system is in use.</t>
  </si>
  <si>
    <t>Tamper-resistant logs, time sync, retention.</t>
  </si>
  <si>
    <t>A.8.15, A.8.16, A.8.17</t>
  </si>
  <si>
    <t>Logging standard, log samples, retention</t>
  </si>
  <si>
    <t>A.7.4</t>
  </si>
  <si>
    <t>Quality of data for AI systems</t>
  </si>
  <si>
    <t>Define and document data quality requirements and ensure data used meets them.</t>
  </si>
  <si>
    <t>Data integrity; defence against poisoning.</t>
  </si>
  <si>
    <t>A.5.12</t>
  </si>
  <si>
    <t>Data quality criteria and check results</t>
  </si>
  <si>
    <t>A.7.5</t>
  </si>
  <si>
    <t>Data provenance</t>
  </si>
  <si>
    <t>Define and document a process for recording provenance of data (and its updates) throughout the life cycle.</t>
  </si>
  <si>
    <t>Traceability and integrity of data lineage.</t>
  </si>
  <si>
    <t>A.5.9, A.8.15, A.5.33</t>
  </si>
  <si>
    <t>Lineage/provenance records</t>
  </si>
  <si>
    <t>A.8.4</t>
  </si>
  <si>
    <t>Communication of incidents</t>
  </si>
  <si>
    <t>Determine and document a plan for communicating incidents to users and other interested parties (incl. regulators).</t>
  </si>
  <si>
    <t>Incident notification to users/regulators.</t>
  </si>
  <si>
    <t>A.5.24, A.5.26, A.5.5</t>
  </si>
  <si>
    <t>AI incident communication plan</t>
  </si>
  <si>
    <t>A.10.2</t>
  </si>
  <si>
    <t>Allocating responsibilities</t>
  </si>
  <si>
    <t>Ensure responsibilities within the AI life cycle are allocated between the organization, partners, suppliers, customers and third parties.</t>
  </si>
  <si>
    <t>Shared-responsibility for security across parties.</t>
  </si>
  <si>
    <t>A.5.19, A.5.20, A.5.23</t>
  </si>
  <si>
    <t>Responsibility matrix, contracts</t>
  </si>
  <si>
    <t>A.10.3</t>
  </si>
  <si>
    <t>Suppliers</t>
  </si>
  <si>
    <t>Establish a process to ensure supplier services, products or materials align with the organization's responsible AI approach.</t>
  </si>
  <si>
    <t>Supplier security due diligence, contracts, monitoring.</t>
  </si>
  <si>
    <t>A.5.19-A.5.22</t>
  </si>
  <si>
    <t>Supplier AI due-diligence, contract clauses</t>
  </si>
  <si>
    <t>ISO/IEC 42001:2023 - Remaining items (governance, ethics, societal, privacy, documentation - no direct CIA protection)</t>
  </si>
  <si>
    <t>Requirement</t>
  </si>
  <si>
    <t>Nature of requirement</t>
  </si>
  <si>
    <t>Security enabler link (indirect, if any)</t>
  </si>
  <si>
    <t>4.1</t>
  </si>
  <si>
    <t>Understanding the organization and its context</t>
  </si>
  <si>
    <t>Determine external/internal issues relevant to the AIMS purpose and to achieving its intended results, incl. the organization's role(s) (provider, producer, user, etc.) and applicable AI-related climate/regulatory factors.</t>
  </si>
  <si>
    <t>Governance &amp; context</t>
  </si>
  <si>
    <t>Include threat landscape/AI attack surface in context. (4.1)</t>
  </si>
  <si>
    <t>Context analysis, AI role determination, issue register</t>
  </si>
  <si>
    <t>4.2</t>
  </si>
  <si>
    <t>Understanding the needs and expectations of interested parties</t>
  </si>
  <si>
    <t>Identify interested parties relevant to the AIMS, their requirements (incl. legal/regulatory, e.g. EU AI Act, PDPPL) and which will be addressed through the AIMS.</t>
  </si>
  <si>
    <t>Security, privacy and regulatory requirements of stakeholders. (4.2)</t>
  </si>
  <si>
    <t>Stakeholder register, AI regulatory/contractual requirements register</t>
  </si>
  <si>
    <t>4.3</t>
  </si>
  <si>
    <t>Determining the scope of the AI management system</t>
  </si>
  <si>
    <t>Determine and document AIMS boundaries and applicability, considering 4.1, 4.2 and the AI systems in scope.</t>
  </si>
  <si>
    <t>Scope should cover AI assets and their security boundaries. (4.3)</t>
  </si>
  <si>
    <t>Approved AIMS scope statement, AI system list</t>
  </si>
  <si>
    <t>4.4</t>
  </si>
  <si>
    <t>AI management system</t>
  </si>
  <si>
    <t>Establish, implement, maintain and continually improve the AIMS, including needed processes and their interactions.</t>
  </si>
  <si>
    <t>Integrate AIMS with the ISMS. (4.4)</t>
  </si>
  <si>
    <t>AIMS process map/manual</t>
  </si>
  <si>
    <t>5.1</t>
  </si>
  <si>
    <t>Leadership and commitment</t>
  </si>
  <si>
    <t>Top management demonstrates commitment: AI policy and objectives aligned to strategy, AIMS integrated into processes, resources provided, importance of effective AI management communicated, outcomes ensured, improvement promoted.</t>
  </si>
  <si>
    <t>Leadership &amp; governance</t>
  </si>
  <si>
    <t>Leadership commitment to security within AI governance. (5.1)</t>
  </si>
  <si>
    <t>Management minutes, sponsorship, budget approvals</t>
  </si>
  <si>
    <t>5.2</t>
  </si>
  <si>
    <t>AI policy</t>
  </si>
  <si>
    <t>Establish, document, communicate and make available an AI policy appropriate to the organization's purpose, providing a framework for AI objectives, committing to applicable requirements and continual improvement; consistent with other policies.</t>
  </si>
  <si>
    <t>AI policy must align with the information security policy. (5.2, A.5.1)</t>
  </si>
  <si>
    <t>Approved AI policy, communication records</t>
  </si>
  <si>
    <t>5.3</t>
  </si>
  <si>
    <t>Roles, responsibilities and authorities</t>
  </si>
  <si>
    <t>Assign and communicate AIMS roles, incl. responsibility for conformity to the standard and reporting AIMS performance to top management.</t>
  </si>
  <si>
    <t>Security roles for AI systems. (5.3, A.5.2)</t>
  </si>
  <si>
    <t>RACI, AI governance charter, appointment records</t>
  </si>
  <si>
    <t>6.1.1</t>
  </si>
  <si>
    <t>Actions to address risks and opportunities - General</t>
  </si>
  <si>
    <t>Determine risks and opportunities to give assurance the AIMS achieves outcomes, prevents/reduces undesired effects, and enables improvement; plan actions and evaluate effectiveness.</t>
  </si>
  <si>
    <t>Risk &amp; planning (general)</t>
  </si>
  <si>
    <t>Security risks/opportunities feed AIMS planning. (6.1.1)</t>
  </si>
  <si>
    <t>Risk &amp; opportunity register</t>
  </si>
  <si>
    <t>6.1.4</t>
  </si>
  <si>
    <t>AI system impact assessment</t>
  </si>
  <si>
    <t>Define a process to assess potential consequences of AI systems on individuals, groups and society through their life cycle; document and retain results.</t>
  </si>
  <si>
    <t>Impact assessment (individual / societal)</t>
  </si>
  <si>
    <t>Impacts from security failures (privacy breach, safety harm). (A.5.34)</t>
  </si>
  <si>
    <t>Impact assessment procedure and completed assessments</t>
  </si>
  <si>
    <t>6.2</t>
  </si>
  <si>
    <t>AI objectives and planning to achieve them</t>
  </si>
  <si>
    <t>Establish measurable AI objectives at relevant functions/levels, consistent with the AI policy; plan what, resources, owner, deadline and evaluation.</t>
  </si>
  <si>
    <t>Set security/robustness objectives for AI systems. (6.2)</t>
  </si>
  <si>
    <t>AI objectives register, KPIs</t>
  </si>
  <si>
    <t>6.3</t>
  </si>
  <si>
    <t>Planning of changes</t>
  </si>
  <si>
    <t>Carry out AIMS changes in a planned manner when a need for change is determined.</t>
  </si>
  <si>
    <t>Security review of AIMS/AI system changes. (6.3, A.8.32)</t>
  </si>
  <si>
    <t>Change records, impact analysis</t>
  </si>
  <si>
    <t>7.1</t>
  </si>
  <si>
    <t>Resources</t>
  </si>
  <si>
    <t>Determine and provide resources needed to establish, implement, maintain and improve the AIMS.</t>
  </si>
  <si>
    <t>Support: resources, competence, communication</t>
  </si>
  <si>
    <t>None</t>
  </si>
  <si>
    <t>Resource plans, budget</t>
  </si>
  <si>
    <t>7.2</t>
  </si>
  <si>
    <t>Competence</t>
  </si>
  <si>
    <t>Determine necessary competence of persons affecting AI performance; ensure competence via education, training or experience; retain evidence.</t>
  </si>
  <si>
    <t>AI/ML security skills. (7.2, A.6.3)</t>
  </si>
  <si>
    <t>AI skills matrix, training records</t>
  </si>
  <si>
    <t>7.3</t>
  </si>
  <si>
    <t>Awareness</t>
  </si>
  <si>
    <t>Ensure persons are aware of the AI policy, their contribution to AIMS effectiveness and consequences of non-conformity.</t>
  </si>
  <si>
    <t>Security awareness for AI users and developers. (7.3, A.6.3)</t>
  </si>
  <si>
    <t>Awareness programme, attendance logs</t>
  </si>
  <si>
    <t>7.4</t>
  </si>
  <si>
    <t>Communication</t>
  </si>
  <si>
    <t>Determine internal and external communications relevant to the AIMS: what, when, with whom, how.</t>
  </si>
  <si>
    <t>Communication of security matters. (7.4)</t>
  </si>
  <si>
    <t>Communication plan</t>
  </si>
  <si>
    <t>7.5.1</t>
  </si>
  <si>
    <t>Documented information - General</t>
  </si>
  <si>
    <t>AIMS includes documented information required by the standard and determined necessary for AIMS effectiveness.</t>
  </si>
  <si>
    <t>Documentation</t>
  </si>
  <si>
    <t>Document register</t>
  </si>
  <si>
    <t>7.5.2</t>
  </si>
  <si>
    <t>Creating and updating documented information</t>
  </si>
  <si>
    <t>Ensure appropriate identification, description, format and review/approval.</t>
  </si>
  <si>
    <t>Templates, approval workflow</t>
  </si>
  <si>
    <t>8.1</t>
  </si>
  <si>
    <t>Operational planning and control</t>
  </si>
  <si>
    <t>Plan, implement and control processes to meet requirements and execute 6.1 actions and 6.2 objectives; control planned changes, review unintended changes and control outsourced processes.</t>
  </si>
  <si>
    <t>Operational control</t>
  </si>
  <si>
    <t>Operational security controls, incl. outsourced AI processes. (8.1, A.5.19)</t>
  </si>
  <si>
    <t>Operating procedures, outsourcing controls</t>
  </si>
  <si>
    <t>8.4</t>
  </si>
  <si>
    <t>Perform AI system impact assessments per 6.1.4 at planned intervals or on significant change; retain results.</t>
  </si>
  <si>
    <t>Reassess impacts after security or design changes. (A.5.34)</t>
  </si>
  <si>
    <t>Completed and refreshed impact assessments</t>
  </si>
  <si>
    <t>9.1</t>
  </si>
  <si>
    <t>Monitoring, measurement, analysis and evaluation</t>
  </si>
  <si>
    <t>Determine what needs monitoring/measuring, methods, timing and responsibilities; evaluate AI performance and AIMS effectiveness; retain evidence.</t>
  </si>
  <si>
    <t>Performance evaluation</t>
  </si>
  <si>
    <t>Security monitoring/metrics for AI systems. (9.1, A.8.16)</t>
  </si>
  <si>
    <t>Metrics, dashboards, AI performance reports</t>
  </si>
  <si>
    <t>9.2.1</t>
  </si>
  <si>
    <t>Internal audit - General</t>
  </si>
  <si>
    <t>Conduct internal audits at planned intervals to check AIMS conformity to own requirements and the standard, and effective implementation.</t>
  </si>
  <si>
    <t>Audit programme, reports</t>
  </si>
  <si>
    <t>9.2.2</t>
  </si>
  <si>
    <t>Internal audit programme</t>
  </si>
  <si>
    <t>Plan programme (frequency, methods, responsibilities, reporting); define criteria/scope; select objective, impartial auditors; report to management; retain evidence.</t>
  </si>
  <si>
    <t>Audit plan, auditor independence, findings log</t>
  </si>
  <si>
    <t>9.3.1</t>
  </si>
  <si>
    <t>Management review - General</t>
  </si>
  <si>
    <t>Top management reviews the AIMS at planned intervals for continuing suitability, adequacy and effectiveness.</t>
  </si>
  <si>
    <t>Review schedule and minutes</t>
  </si>
  <si>
    <t>9.3.2</t>
  </si>
  <si>
    <t>Management review inputs</t>
  </si>
  <si>
    <t>Consider status of previous actions, changes in issues, AIMS performance (NCs, monitoring, audits, objectives), interested-party feedback, opportunities for improvement and risks.</t>
  </si>
  <si>
    <t>Management review pack</t>
  </si>
  <si>
    <t>9.3.3</t>
  </si>
  <si>
    <t>Management review results</t>
  </si>
  <si>
    <t>Record decisions on continual improvement opportunities and any AIMS changes.</t>
  </si>
  <si>
    <t>Minutes, action tracker</t>
  </si>
  <si>
    <t>10.1</t>
  </si>
  <si>
    <t>Continual improvement</t>
  </si>
  <si>
    <t>Continually improve the suitability, adequacy and effectiveness of the AIMS.</t>
  </si>
  <si>
    <t>Improvement</t>
  </si>
  <si>
    <t>Improvement register, trends</t>
  </si>
  <si>
    <t>10.2</t>
  </si>
  <si>
    <t>Nonconformity and corrective action</t>
  </si>
  <si>
    <t>React to NCs, evaluate need to eliminate causes, implement and review corrective action effectiveness, update AIMS; retain evidence.</t>
  </si>
  <si>
    <t>Corrective action after security incidents/NCs. (10.2, A.5.27)</t>
  </si>
  <si>
    <t>NC/CAPA log, root-cause analyses</t>
  </si>
  <si>
    <t>A.2.2</t>
  </si>
  <si>
    <t>Document a policy for the development or use of AI systems.</t>
  </si>
  <si>
    <t>AI policy &amp; alignment</t>
  </si>
  <si>
    <t>Reference security requirements in AI policy. (A.5.1)</t>
  </si>
  <si>
    <t>Approved AI policy</t>
  </si>
  <si>
    <t>A.2.3</t>
  </si>
  <si>
    <t>Alignment with other organizational policies</t>
  </si>
  <si>
    <t>Determine where other policies (security, privacy, quality, safety, etc.) are affected by or apply to AI objectives, and align them.</t>
  </si>
  <si>
    <t>Align with information security and privacy policies. (A.5.1)</t>
  </si>
  <si>
    <t>Policy mapping/crosswalk</t>
  </si>
  <si>
    <t>A.2.4</t>
  </si>
  <si>
    <t>Review of the AI policy</t>
  </si>
  <si>
    <t>Review the AI policy at planned intervals or on significant change to ensure continuing suitability, adequacy and effectiveness.</t>
  </si>
  <si>
    <t>Review records, version history</t>
  </si>
  <si>
    <t>A.3.2</t>
  </si>
  <si>
    <t>AI roles and responsibilities</t>
  </si>
  <si>
    <t>Define and allocate AI roles and responsibilities per organizational needs.</t>
  </si>
  <si>
    <t>Organization &amp; accountability</t>
  </si>
  <si>
    <t>Security accountability for AI systems. (A.5.2, A.5.4)</t>
  </si>
  <si>
    <t>AI governance roles, RACI, committee charter</t>
  </si>
  <si>
    <t>A.3.3</t>
  </si>
  <si>
    <t>Reporting of concerns</t>
  </si>
  <si>
    <t>Define and put in place a process to report concerns about the organization's role with respect to an AI system throughout its life cycle.</t>
  </si>
  <si>
    <t>Channel for security concerns. (A.6.8, A.5.26)</t>
  </si>
  <si>
    <t>Whistleblowing/concern channel, case records</t>
  </si>
  <si>
    <t>A.4.2</t>
  </si>
  <si>
    <t>Resource documentation</t>
  </si>
  <si>
    <t>Identify and document relevant resources required for each AI system life-cycle stage and other AI-related activities, to understand and address risks/impacts.</t>
  </si>
  <si>
    <t>AI resource management</t>
  </si>
  <si>
    <t>Asset inventory of AI resources. (A.5.9)</t>
  </si>
  <si>
    <t>AI resource inventory</t>
  </si>
  <si>
    <t>A.4.3</t>
  </si>
  <si>
    <t>Data resources</t>
  </si>
  <si>
    <t>Document information about data resources used for the AI system.</t>
  </si>
  <si>
    <t>Classification and protection of datasets. (A.5.9, A.5.12)</t>
  </si>
  <si>
    <t>Dataset inventory, data catalogue</t>
  </si>
  <si>
    <t>A.4.6</t>
  </si>
  <si>
    <t>Human resources</t>
  </si>
  <si>
    <t>Document human resources and their competences for development, deployment, operation, change management, maintenance, transfer and decommissioning, and verification and integration of the AI system.</t>
  </si>
  <si>
    <t>Vetted, trained AI personnel. (A.6.1, A.6.3)</t>
  </si>
  <si>
    <t>Competence matrix, staffing records</t>
  </si>
  <si>
    <t>A.5.2</t>
  </si>
  <si>
    <t>AI system impact assessment process</t>
  </si>
  <si>
    <t>Establish a process to assess potential consequences for individuals, groups and society from the AI system throughout its life cycle.</t>
  </si>
  <si>
    <t>Include security and privacy harms in impact process. (A.5.34)</t>
  </si>
  <si>
    <t>Impact assessment procedure and triggers</t>
  </si>
  <si>
    <t>A.5.3</t>
  </si>
  <si>
    <t>Documentation of AI system impact assessments</t>
  </si>
  <si>
    <t>Document results of impact assessments and retain for a defined period.</t>
  </si>
  <si>
    <t>Assessment records and retention rules</t>
  </si>
  <si>
    <t>A.5.4</t>
  </si>
  <si>
    <t>Assessing AI system impact on individuals or groups of individuals</t>
  </si>
  <si>
    <t>Assess and document impacts on individuals/groups throughout the life cycle (e.g. fairness, privacy, safety, rights).</t>
  </si>
  <si>
    <t>Privacy/safety impacts on individuals. (A.5.34)</t>
  </si>
  <si>
    <t>Individual/group impact analyses, fairness testing</t>
  </si>
  <si>
    <t>A.5.5</t>
  </si>
  <si>
    <t>Assessing societal impacts of AI systems</t>
  </si>
  <si>
    <t>Assess and document societal impacts (e.g. environment, economy, culture, public health, misinformation) throughout the life cycle.</t>
  </si>
  <si>
    <t>Societal impact analyses</t>
  </si>
  <si>
    <t>A.6.1.2</t>
  </si>
  <si>
    <t>Objectives for responsible development of AI system</t>
  </si>
  <si>
    <t>Identify and document objectives guiding responsible AI development (fairness, transparency, robustness, safety, etc.) and integrate them into the life cycle.</t>
  </si>
  <si>
    <t>Responsible AI objectives</t>
  </si>
  <si>
    <t>Robustness and security as responsible-AI objectives. (A.8.25)</t>
  </si>
  <si>
    <t>Responsible AI objectives, design principles</t>
  </si>
  <si>
    <t>A.6.2.3</t>
  </si>
  <si>
    <t>Documentation of AI system design and development</t>
  </si>
  <si>
    <t>Document design and development per organizational objectives, documented requirements and criteria (architecture, model choices, training approach).</t>
  </si>
  <si>
    <t>Life-cycle documentation</t>
  </si>
  <si>
    <t>Document secure architecture and design decisions. (A.8.27, A.5.37)</t>
  </si>
  <si>
    <t>Design documents, model cards</t>
  </si>
  <si>
    <t>A.6.2.7</t>
  </si>
  <si>
    <t>AI system technical documentation</t>
  </si>
  <si>
    <t>Determine what AI system technical documentation is needed for each relevant category of interested parties and provide it.</t>
  </si>
  <si>
    <t>Secure handling of technical documentation. (A.5.37, A.8.27)</t>
  </si>
  <si>
    <t>Technical documentation pack</t>
  </si>
  <si>
    <t>A.7.2</t>
  </si>
  <si>
    <t>Data for development and enhancement of AI system</t>
  </si>
  <si>
    <t>Define, document and implement data management processes related to AI development.</t>
  </si>
  <si>
    <t>Data governance &amp; lawfulness</t>
  </si>
  <si>
    <t>Data classification, masking, deletion. (A.5.12, A.8.10, A.8.11)</t>
  </si>
  <si>
    <t>Data management procedure</t>
  </si>
  <si>
    <t>A.7.3</t>
  </si>
  <si>
    <t>Acquisition of data</t>
  </si>
  <si>
    <t>Determine and document details about acquisition and selection of data used in AI systems.</t>
  </si>
  <si>
    <t>Lawful, trusted data sources; supplier/data-broker risk. (A.5.19, A.5.34)</t>
  </si>
  <si>
    <t>Data acquisition records, licences, consent basis</t>
  </si>
  <si>
    <t>A.7.6</t>
  </si>
  <si>
    <t>Data preparation</t>
  </si>
  <si>
    <t>Define and document criteria for selecting data preparation methods and how they are used.</t>
  </si>
  <si>
    <t>Protect sensitive data during preparation. (A.8.11, A.8.33, A.5.34)</t>
  </si>
  <si>
    <t>Cleaning, labelling and feature-engineering procedures</t>
  </si>
  <si>
    <t>A.8.2</t>
  </si>
  <si>
    <t>System documentation and information for users</t>
  </si>
  <si>
    <t>Determine and provide necessary information to users of the AI system.</t>
  </si>
  <si>
    <t>Transparency &amp; stakeholder information</t>
  </si>
  <si>
    <t>Secure-use guidance for users. (A.5.37)</t>
  </si>
  <si>
    <t>User guides, capability/limitation statements, transparency notices</t>
  </si>
  <si>
    <t>A.8.3</t>
  </si>
  <si>
    <t>External reporting</t>
  </si>
  <si>
    <t>Provide capability for interested parties to report adverse impacts of the AI system.</t>
  </si>
  <si>
    <t>Channel to report security-relevant adverse impacts. (A.5.5, A.6.8)</t>
  </si>
  <si>
    <t>External reporting channel, handling records</t>
  </si>
  <si>
    <t>A.8.5</t>
  </si>
  <si>
    <t>Information for interested parties</t>
  </si>
  <si>
    <t>Determine and document obligations to report information about the AI system to interested parties.</t>
  </si>
  <si>
    <t>Regulatory/contractual reporting obligations. (A.5.31, A.5.5)</t>
  </si>
  <si>
    <t>Obligation register (regulatory, contractual)</t>
  </si>
  <si>
    <t>A.9.2</t>
  </si>
  <si>
    <t>Processes for responsible use of AI systems</t>
  </si>
  <si>
    <t>Define and document processes for responsible use of AI systems.</t>
  </si>
  <si>
    <t>Responsible use</t>
  </si>
  <si>
    <t>Acceptable use rules for AI. (A.5.10)</t>
  </si>
  <si>
    <t>Acceptable/responsible use procedures</t>
  </si>
  <si>
    <t>A.9.3</t>
  </si>
  <si>
    <t>Objectives for responsible use of AI system</t>
  </si>
  <si>
    <t>Identify and document objectives guiding responsible use, aligned to AI policy.</t>
  </si>
  <si>
    <t>Responsible use objectives</t>
  </si>
  <si>
    <t>A.9.4</t>
  </si>
  <si>
    <t>Intended use of the AI system</t>
  </si>
  <si>
    <t>Ensure the AI system is used according to its intended uses and accompanying documentation.</t>
  </si>
  <si>
    <t>Prevent misuse via access control and monitoring. (A.5.10, A.8.16)</t>
  </si>
  <si>
    <t>Use monitoring, misuse controls, user attestations</t>
  </si>
  <si>
    <t>A.10.4</t>
  </si>
  <si>
    <t>Customers</t>
  </si>
  <si>
    <t>Ensure the organization's responsible AI approach considers customer expectations and needs.</t>
  </si>
  <si>
    <t>Customer relationships</t>
  </si>
  <si>
    <t>Customer security and data requirements. (A.5.20, A.5.34)</t>
  </si>
  <si>
    <t>Customer requirements, feedback, contractual commitments</t>
  </si>
  <si>
    <t>Compliance Summary</t>
  </si>
  <si>
    <t>Group</t>
  </si>
  <si>
    <t>Total items</t>
  </si>
  <si>
    <t>In progress</t>
  </si>
  <si>
    <t>Implemented</t>
  </si>
  <si>
    <t>Verified</t>
  </si>
  <si>
    <t>Not applicable</t>
  </si>
  <si>
    <t>% Complete (Impl.+Verified / applicable)</t>
  </si>
  <si>
    <t>CIA-security: Clauses 4-10</t>
  </si>
  <si>
    <t>CIA-security: Annex A</t>
  </si>
  <si>
    <t>CIA-security TOTAL</t>
  </si>
  <si>
    <t>Non-CIA: Clauses 4-10</t>
  </si>
  <si>
    <t>Non-CIA: Annex A</t>
  </si>
  <si>
    <t>Non-CIA TOTAL</t>
  </si>
  <si>
    <t>OVERALL</t>
  </si>
  <si>
    <t>CIA coverage of the CIA-security items</t>
  </si>
  <si>
    <t>Count</t>
  </si>
  <si>
    <t>Confidentiality (C)</t>
  </si>
  <si>
    <t>Integrity (I)</t>
  </si>
  <si>
    <t>Availability (A)</t>
  </si>
  <si>
    <t>All three (C+I+A)</t>
  </si>
  <si>
    <t>EU AI Act</t>
  </si>
  <si>
    <t>EU AI Act - all items</t>
  </si>
  <si>
    <t>EU AI Act - CIA-security items</t>
  </si>
  <si>
    <t>OECD AI Principles</t>
  </si>
  <si>
    <t>OECD - all items</t>
  </si>
  <si>
    <t>OECD - CIA-security items</t>
  </si>
  <si>
    <t>NIST AI RMF</t>
  </si>
  <si>
    <t>NIST AI RMF - all items</t>
  </si>
  <si>
    <t>NIST AI RMF - CIA-security items</t>
  </si>
  <si>
    <t>ISO/IEC 42005</t>
  </si>
  <si>
    <t>ISO 42005 - all items</t>
  </si>
  <si>
    <t>ISO 42005 - CIA-security items</t>
  </si>
  <si>
    <t>ISO/IEC 27001:2022</t>
  </si>
  <si>
    <t>ISO 27001 - all items</t>
  </si>
  <si>
    <t>ISO 27001 - CIA-security items</t>
  </si>
  <si>
    <t>ISO/IEC 17021-1</t>
  </si>
  <si>
    <t>ISO 17021 - all items</t>
  </si>
  <si>
    <t>ISO 17021 - CIA-security items</t>
  </si>
  <si>
    <t>GDPR</t>
  </si>
  <si>
    <t>GDPR - all items</t>
  </si>
  <si>
    <t>GDPR - CIA-security items</t>
  </si>
  <si>
    <t>OWASP Top 10 for LLM Applications</t>
  </si>
  <si>
    <t>OWASP LLM Top 10 - all risks</t>
  </si>
  <si>
    <t>ISO/IEC 27701</t>
  </si>
  <si>
    <t>ISO 27701 - all items</t>
  </si>
  <si>
    <t>ISO 27701 - CIA-security items</t>
  </si>
  <si>
    <t>Master Control List (all frameworks combined)</t>
  </si>
  <si>
    <t>All frameworks - total unique control items</t>
  </si>
  <si>
    <t>Common control domains identified</t>
  </si>
  <si>
    <t>Privacy by Design</t>
  </si>
  <si>
    <t>Privacy by Design - all items</t>
  </si>
  <si>
    <t>Privacy by Design - CIA-security items</t>
  </si>
  <si>
    <t>ISO/IEC 31700-1/-2</t>
  </si>
  <si>
    <t>ISO 31700 - all items</t>
  </si>
  <si>
    <t>ISO 31700 - CIA-security items</t>
  </si>
  <si>
    <t>DORA</t>
  </si>
  <si>
    <t>DORA - all items</t>
  </si>
  <si>
    <t>DORA - CIA-security items</t>
  </si>
  <si>
    <t>NIST ARIA</t>
  </si>
  <si>
    <t>NIST ARIA - all items</t>
  </si>
  <si>
    <t>NIST ARIA - CIA-security items</t>
  </si>
  <si>
    <t>FAIR Risk Methodology</t>
  </si>
  <si>
    <t>FAIR - all items</t>
  </si>
  <si>
    <t>FAIR - CIA-security items</t>
  </si>
  <si>
    <t>ISO/IEC 5181</t>
  </si>
  <si>
    <t>ISO 5181 - all items</t>
  </si>
  <si>
    <t>ISO 5181 - CIA-security items</t>
  </si>
  <si>
    <t>ISO/IEC 27090</t>
  </si>
  <si>
    <t>ISO 27090 - all items</t>
  </si>
  <si>
    <t>ISO 27090 - CIA-security items</t>
  </si>
  <si>
    <t>MITRE ATLAS - all tactics</t>
  </si>
  <si>
    <t>MITRE ATLAS - CIA-marked tactics</t>
  </si>
  <si>
    <t>EU AI Act (Regulation (EU) 2024/1689) - Clause Checklist, with Role Responsibilities and CIA-Security Marking</t>
  </si>
  <si>
    <t>Role Legend (Article 3 definitions)</t>
  </si>
  <si>
    <t>Role</t>
  </si>
  <si>
    <t>Definition (Art.3)</t>
  </si>
  <si>
    <t>Key responsibilities (summary)</t>
  </si>
  <si>
    <t>Provider</t>
  </si>
  <si>
    <t>Develops an AI system or GPAI model (or has one developed) and places it on the market / puts it into service under its own name or trademark, for payment or free of charge.</t>
  </si>
  <si>
    <t>Bears the primary compliance burden: classification, risk management, technical documentation, conformity assessment, CE marking, registration, post-market monitoring, incident reporting.</t>
  </si>
  <si>
    <t>Deployer</t>
  </si>
  <si>
    <t>Uses an AI system under its own authority, except where used in the course of a purely personal, non-professional activity.</t>
  </si>
  <si>
    <t>Must use the system per the provider's instructions, assign competent human oversight, monitor operation, keep logs it controls, and report risks/incidents it becomes aware of.</t>
  </si>
  <si>
    <t>Authorised Representative</t>
  </si>
  <si>
    <t>A person established in the EU, holding a written mandate from a non-EU provider, to act on the provider's behalf for specified obligations.</t>
  </si>
  <si>
    <t>Carries out mandated tasks (conformity documentation, registration, cooperation with authorities) on behalf of a non-EU provider.</t>
  </si>
  <si>
    <t>Importer</t>
  </si>
  <si>
    <t>A person established in the EU that places on the EU market an AI system bearing the name or trademark of a person established outside the EU.</t>
  </si>
  <si>
    <t>Verifies conformity assessment, documentation and CE marking before placing the system on the market; ensures safe storage/transport.</t>
  </si>
  <si>
    <t>Distributor</t>
  </si>
  <si>
    <t>A person in the supply chain, other than the provider or importer, that makes an AI system available on the EU market.</t>
  </si>
  <si>
    <t>Verifies CE marking and documentation before distribution; must not distribute non-conforming systems; takes corrective action if non-conformity is found.</t>
  </si>
  <si>
    <t>Product Manufacturer</t>
  </si>
  <si>
    <t>Places an AI system on the market or into service together with its own product, under its own name or trademark.</t>
  </si>
  <si>
    <t>Takes on provider-equivalent obligations for the AI system embedded in its product.</t>
  </si>
  <si>
    <t>Operator (umbrella term)</t>
  </si>
  <si>
    <t>Collective term covering Provider, Deployer, Authorised Representative, Importer, Distributor and Product Manufacturer.</t>
  </si>
  <si>
    <t>Used where an obligation (e.g. Art.5 prohibited practices, Art.99 penalties) applies across all roles rather than one specifically.</t>
  </si>
  <si>
    <t>GPAI Model Provider</t>
  </si>
  <si>
    <t>A Provider specifically of a general-purpose AI model; a further 'systemic risk' tier applies above a compute/capability threshold (Art.51).</t>
  </si>
  <si>
    <t>Technical documentation, downstream-provider information, copyright policy, training-content summary (Art.53); systemic-risk providers add model evaluation, adversarial testing and cybersecurity protection (Art.55).</t>
  </si>
  <si>
    <t>Article/Annex</t>
  </si>
  <si>
    <t>Applicable Role(s) &amp; Responsibilities</t>
  </si>
  <si>
    <t>Security note / why CIA is involved</t>
  </si>
  <si>
    <t>Applicable</t>
  </si>
  <si>
    <t>Chapter I</t>
  </si>
  <si>
    <t>General provisions</t>
  </si>
  <si>
    <t>Art.2</t>
  </si>
  <si>
    <t>Scope</t>
  </si>
  <si>
    <t>Operator (umbrella term covering Provider, Deployer, Importer, Distributor, Authorised Representative, Product Manufacturer) - this article determines which role(s) an organization holds and therefore which obligations apply.</t>
  </si>
  <si>
    <t>Determine applicability: providers, deployers, importers, distributors and product manufacturers placing AI systems/GPAI models on the EU market or whose output is used in the EU.</t>
  </si>
  <si>
    <t>None - governance/process requirement without a direct CIA-protection function.</t>
  </si>
  <si>
    <t>Applicability assessment</t>
  </si>
  <si>
    <t>Art.3</t>
  </si>
  <si>
    <t>Definitions</t>
  </si>
  <si>
    <t>All roles - this article is the source of the role definitions themselves (see the Role Legend above).</t>
  </si>
  <si>
    <t>Apply the Act's definitions (AI system, provider, deployer, high-risk, GPAI model, serious incident, etc.) consistently across governance documents.</t>
  </si>
  <si>
    <t>Glossary/definitions mapping</t>
  </si>
  <si>
    <t>Art.4</t>
  </si>
  <si>
    <t>AI literacy</t>
  </si>
  <si>
    <t>Provider and Deployer - both must ensure their own staff (and others acting on their behalf) have sufficient AI literacy.</t>
  </si>
  <si>
    <t>Take measures to ensure sufficient AI literacy of staff and others dealing with AI systems on the organization's behalf, considering their technical knowledge, experience and context of use.</t>
  </si>
  <si>
    <t>AI literacy programme, training records</t>
  </si>
  <si>
    <t>Chapter II</t>
  </si>
  <si>
    <t>Prohibited AI practices</t>
  </si>
  <si>
    <t>Art.5</t>
  </si>
  <si>
    <t>Provider (must not place on market/put into service) and Deployer (must not use) - the prohibition binds both roles independently.</t>
  </si>
  <si>
    <t>Do not place on the market, put into service or use AI systems for prohibited practices: subliminal/manipulative techniques causing harm, exploitation of vulnerabilities, social scoring, real-time remote biometric ID in public for law enforcement (subject to exceptions), biometric categorisation inferring sensitive attributes, emotion recognition in workplace/education (with exceptions), untargeted facial-image scraping, individual crime-risk prediction based solely on profiling.</t>
  </si>
  <si>
    <t>Emotion recognition, biometric categorisation and scraping controls overlap with data confidentiality and consent safeguards.</t>
  </si>
  <si>
    <t>Prohibited-use screening/legal review, use-case register</t>
  </si>
  <si>
    <t>Chapter III S1</t>
  </si>
  <si>
    <t>High-risk classification</t>
  </si>
  <si>
    <t>Art.6</t>
  </si>
  <si>
    <t>Classification rules for high-risk AI systems</t>
  </si>
  <si>
    <t>Provider - responsible for classifying their own AI system before placing it on the market or putting it into service.</t>
  </si>
  <si>
    <t>Determine whether an AI system is high-risk: safety component of a regulated product (Annex I) or use case listed in Annex III, with a narrow self-assessment exemption where risk is not significant.</t>
  </si>
  <si>
    <t>Classification/risk-tier assessment per system</t>
  </si>
  <si>
    <t>Art.7</t>
  </si>
  <si>
    <t>Amendments to Annex III</t>
  </si>
  <si>
    <t>Provider - must monitor for classification-list changes affecting systems it has already placed on the market.</t>
  </si>
  <si>
    <t>Monitor Commission updates to the high-risk use-case list (Annex III) and re-assess systems accordingly.</t>
  </si>
  <si>
    <t>Regulatory watch process</t>
  </si>
  <si>
    <t>Chapter III S2</t>
  </si>
  <si>
    <t>Requirements for high-risk AI systems</t>
  </si>
  <si>
    <t>Art.8</t>
  </si>
  <si>
    <t>Compliance with the requirements</t>
  </si>
  <si>
    <t>Provider - primary and direct responsibility for meeting Articles 9-15 across the system's lifecycle.</t>
  </si>
  <si>
    <t>Ensure high-risk AI systems comply with Articles 9-15 throughout their lifecycle, considering intended purpose and generally acknowledged state of the art.</t>
  </si>
  <si>
    <t>Compliance programme covering Art.9-15</t>
  </si>
  <si>
    <t>Art.9</t>
  </si>
  <si>
    <t>Risk management system</t>
  </si>
  <si>
    <t>Provider - must establish and maintain the risk management system for the high-risk AI system.</t>
  </si>
  <si>
    <t>Establish, implement, document and maintain a continuous risk management process across the lifecycle: identify, analyse, estimate and evaluate known/foreseeable risks, adopt mitigation measures, and test.</t>
  </si>
  <si>
    <t>Risk management must cover security/adversarial risks alongside safety and fundamental-rights risks.</t>
  </si>
  <si>
    <t>AI risk management file, test reports</t>
  </si>
  <si>
    <t>Art.10</t>
  </si>
  <si>
    <t>Data and data governance</t>
  </si>
  <si>
    <t>Provider - responsible for the data governance practices applied during development of the high-risk AI system.</t>
  </si>
  <si>
    <t>Apply data governance practices to training/validation/testing data: relevant design choices, provenance, collection, bias examination, gaps identification, and appropriate quality/representativeness; protect data appropriately.</t>
  </si>
  <si>
    <t>Poor data governance is a direct integrity risk (poisoning, bias) and can expose confidential data if provenance/access is not controlled.</t>
  </si>
  <si>
    <t>Data governance procedure, dataset documentation</t>
  </si>
  <si>
    <t>Art.11</t>
  </si>
  <si>
    <t>Technical documentation</t>
  </si>
  <si>
    <t>Provider - must draw up and maintain the technical documentation per Annex IV.</t>
  </si>
  <si>
    <t>Draw up technical documentation before placing on the market/putting into service and keep it up to date, per Annex IV (system description, design, development, risk management, performance, changes).</t>
  </si>
  <si>
    <t>Technical documentation file</t>
  </si>
  <si>
    <t>Art.12</t>
  </si>
  <si>
    <t>Record-keeping (logging)</t>
  </si>
  <si>
    <t>Provider - must design the logging capability into the system; Deployer - relies on and operates these logs during use (see Art.26).</t>
  </si>
  <si>
    <t>Design high-risk AI systems with capability for automatic logging of events over the system's lifetime to ensure traceability appropriate to intended purpose.</t>
  </si>
  <si>
    <t>Tamper-evident, available logs are needed for traceability and incident investigation.</t>
  </si>
  <si>
    <t>Logging design spec, log retention records</t>
  </si>
  <si>
    <t>Art.13</t>
  </si>
  <si>
    <t>Transparency and provision of information to deployers</t>
  </si>
  <si>
    <t>Provider - must design for transparency and supply instructions for use; Deployer - is the recipient of this information and relies on it for compliant use.</t>
  </si>
  <si>
    <t>Design systems to be sufficiently transparent for deployers to interpret output and use appropriately; provide instructions for use with required content (identity, characteristics, performance, known limitations, human oversight measures, expected lifetime and maintenance).</t>
  </si>
  <si>
    <t>Instructions for use, transparency documentation</t>
  </si>
  <si>
    <t>Art.14</t>
  </si>
  <si>
    <t>Human oversight</t>
  </si>
  <si>
    <t>Provider - must design the human-oversight interface/tools into the system; Deployer - must actually assign competent human oversight during use (see Art.26).</t>
  </si>
  <si>
    <t>Design high-risk AI systems, including appropriate human-machine interface tools, to be effectively overseen by natural persons during use, able to understand, monitor and intervene (incl. stop/override).</t>
  </si>
  <si>
    <t>Human oversight design, operator training</t>
  </si>
  <si>
    <t>Art.15</t>
  </si>
  <si>
    <t>Accuracy, robustness and cybersecurity</t>
  </si>
  <si>
    <t>Provider - sole responsibility for designing and testing accuracy, robustness and cybersecurity into the system.</t>
  </si>
  <si>
    <t>Design and develop high-risk AI systems to achieve appropriate levels of accuracy, robustness and cybersecurity, perform consistently, and be resilient to errors, faults, inconsistencies, and attempts by unauthorised third parties to exploit vulnerabilities (data poisoning, adversarial examples, model evasion, confidentiality attacks), with technical redundancy/back-up where relevant.</t>
  </si>
  <si>
    <t>Direct cybersecurity obligation: protect against attacks on confidentiality (model/data extraction), integrity (poisoning, adversarial manipulation) and availability (denial of service, faults).</t>
  </si>
  <si>
    <t>Robustness/security test reports, resilience measures, cybersecurity controls</t>
  </si>
  <si>
    <t>Chapter III S3</t>
  </si>
  <si>
    <t>Provider/deployer obligations</t>
  </si>
  <si>
    <t>Art.16</t>
  </si>
  <si>
    <t>Obligations of providers of high-risk AI systems</t>
  </si>
  <si>
    <t>Provider - this article consolidates the full set of provider-specific obligations.</t>
  </si>
  <si>
    <t>Ensure conformity, have quality management system, keep documentation/logs, undergo conformity assessment, draw up EU declaration of conformity, affix CE marking, register system, take corrective action, cooperate with authorities.</t>
  </si>
  <si>
    <t>Conformity file, CE marking, registration</t>
  </si>
  <si>
    <t>Art.17</t>
  </si>
  <si>
    <t>Quality management system</t>
  </si>
  <si>
    <t>Provider - must establish and maintain the QMS.</t>
  </si>
  <si>
    <t>Put in place a quality management system documenting strategy for compliance, design control, data management, risk management, post-market monitoring, incident reporting, resource management, and an accountability framework.</t>
  </si>
  <si>
    <t>QMS documentation</t>
  </si>
  <si>
    <t>Art.18</t>
  </si>
  <si>
    <t>Documentation keeping</t>
  </si>
  <si>
    <t>Provider - the 10-year document retention duty rests with the provider.</t>
  </si>
  <si>
    <t>Keep technical documentation, QMS documentation, conformity assessment and EU declaration of conformity documentation for 10 years after placing on the market.</t>
  </si>
  <si>
    <t>Document retention register</t>
  </si>
  <si>
    <t>Art.19</t>
  </si>
  <si>
    <t>Automatically generated logs</t>
  </si>
  <si>
    <t>Provider - retains logs that are under its control (contrast with Art.26, where the Deployer retains logs under its own control).</t>
  </si>
  <si>
    <t>Keep the logs automatically generated by the high-risk AI system, to the extent they are under the provider's control, for a period appropriate to the intended purpose (at least 6 months unless otherwise provided).</t>
  </si>
  <si>
    <t>Preserving log integrity and availability for the retention period.</t>
  </si>
  <si>
    <t>Log retention policy and records</t>
  </si>
  <si>
    <t>Art.20</t>
  </si>
  <si>
    <t>Corrective actions and duty of information</t>
  </si>
  <si>
    <t>Provider - must act and must notify Distributors, Deployers, the Authorised Representative and authorities as relevant.</t>
  </si>
  <si>
    <t>Take corrective actions or withdraw/recall a non-conforming system; inform distributors, deployers, authorised representative and, where relevant, authorities of the non-conformity and actions taken.</t>
  </si>
  <si>
    <t>Corrective action procedure, notifications</t>
  </si>
  <si>
    <t>Art.21</t>
  </si>
  <si>
    <t>Cooperation with competent authorities</t>
  </si>
  <si>
    <t>Provider - primary duty to cooperate; an Authorised Representative may also be approached where the provider is outside the EU.</t>
  </si>
  <si>
    <t>Provide competent authorities, on reasoned request, with information/documentation to demonstrate conformity, including access to automatically generated logs where relevant.</t>
  </si>
  <si>
    <t>Ensure controlled, confidential handling of information shared with authorities.</t>
  </si>
  <si>
    <t>Authority request-response log</t>
  </si>
  <si>
    <t>Art.22</t>
  </si>
  <si>
    <t>Authorised representatives</t>
  </si>
  <si>
    <t>Authorised Representative - this article defines its role and mandated duties, appointed by a non-EU Provider.</t>
  </si>
  <si>
    <t>Non-EU providers appoint an EU authorised representative with a mandate covering conformity documentation, cooperation with authorities and registration duties.</t>
  </si>
  <si>
    <t>Authorisation mandate</t>
  </si>
  <si>
    <t>Art.23</t>
  </si>
  <si>
    <t>Obligations of importers</t>
  </si>
  <si>
    <t>Importer - this article sets out the Importer's specific verification and cooperation duties.</t>
  </si>
  <si>
    <t>Verify conformity assessment, documentation and CE marking before placing a system on the market; ensure storage/transport conditions do not jeopardise compliance; cooperate with authorities.</t>
  </si>
  <si>
    <t>Import verification records</t>
  </si>
  <si>
    <t>Art.24</t>
  </si>
  <si>
    <t>Obligations of distributors</t>
  </si>
  <si>
    <t>Distributor - this article sets out the Distributor's specific verification duties.</t>
  </si>
  <si>
    <t>Verify CE marking, documentation and conformity before making a system available; not make available if non-conforming; take corrective action if aware of non-conformity.</t>
  </si>
  <si>
    <t>Distribution verification records</t>
  </si>
  <si>
    <t>Art.25</t>
  </si>
  <si>
    <t>Responsibilities along the AI value chain</t>
  </si>
  <si>
    <t>Distributor, Importer, Deployer or third-party supplier - any of these can be re-classified as a Provider under the stated conditions and then assumes full Provider obligations.</t>
  </si>
  <si>
    <t>Determine when a distributor, importer, deployer or third party is considered a provider (e.g. substantial modification, own branding) and assumes provider obligations; third-party suppliers provide necessary information/access via written agreement.</t>
  </si>
  <si>
    <t>Agreements should protect confidentiality of shared IP/technical information.</t>
  </si>
  <si>
    <t>Value-chain responsibility agreements</t>
  </si>
  <si>
    <t>Art.26</t>
  </si>
  <si>
    <t>Obligations of deployers of high-risk AI systems</t>
  </si>
  <si>
    <t>Deployer - this article consolidates the full set of deployer-specific obligations, the mirror of Art.16 for providers.</t>
  </si>
  <si>
    <t>Use systems per instructions, assign competent human oversight, ensure input data relevance, monitor operation, keep automatically generated logs (min. 6 months), inform provider/authorities of risks or serious incidents, cooperate with authorities, conduct data protection impact assessment where applicable.</t>
  </si>
  <si>
    <t>Deployer must protect and retain logs and monitor for security-relevant anomalies.</t>
  </si>
  <si>
    <t>Deployer operating procedures, log retention, DPIA</t>
  </si>
  <si>
    <t>Art.27</t>
  </si>
  <si>
    <t>Fundamental rights impact assessment</t>
  </si>
  <si>
    <t>Deployer - specifically deployers that are public bodies or private entities providing public services, or operating in banking/insurance, per the article's scope.</t>
  </si>
  <si>
    <t>Certain deployers (public bodies, banking/insurance, etc.) perform a fundamental rights impact assessment before deployment: process description, period/frequency of use, affected persons, specific risks, human oversight measures, and mitigation/governance measures.</t>
  </si>
  <si>
    <t>FRIA report</t>
  </si>
  <si>
    <t>Chapter V</t>
  </si>
  <si>
    <t>General-purpose AI models</t>
  </si>
  <si>
    <t>Art.53</t>
  </si>
  <si>
    <t>Obligations for providers of GPAI models</t>
  </si>
  <si>
    <t>GPAI Model Provider - a provider specifically of a general-purpose AI model (distinct from, but can overlap with, a high-risk AI system Provider).</t>
  </si>
  <si>
    <t>Draw up and keep up to date technical documentation, provide information/documentation to downstream providers, establish a copyright policy, publish a sufficiently detailed training-content summary.</t>
  </si>
  <si>
    <t>GPAI technical documentation, training data summary</t>
  </si>
  <si>
    <t>Art.55</t>
  </si>
  <si>
    <t>Obligations for providers of GPAI models with systemic risk</t>
  </si>
  <si>
    <t>GPAI Model Provider meeting the systemic-risk threshold (based on compute/capability criteria) - an elevated obligation tier on top of Art.53.</t>
  </si>
  <si>
    <t>Perform model evaluation incl. adversarial testing, assess and mitigate systemic risks, track/document/report serious incidents, ensure adequate cybersecurity protection for the model and its physical infrastructure.</t>
  </si>
  <si>
    <t>Explicit cybersecurity protection obligation for the model and infrastructure against theft, unauthorized access and attacks.</t>
  </si>
  <si>
    <t>Systemic risk assessment, adversarial test reports, incident log, cybersecurity measures</t>
  </si>
  <si>
    <t>Chapter VIII</t>
  </si>
  <si>
    <t>Transparency obligations</t>
  </si>
  <si>
    <t>Art.50</t>
  </si>
  <si>
    <t>Transparency obligations for certain AI systems</t>
  </si>
  <si>
    <t>Provider (must design the disclosure/labelling capability into the system) and Deployer (must make the actual disclosure to natural persons at the point of interaction/use).</t>
  </si>
  <si>
    <t>Inform natural persons they are interacting with an AI system (unless obvious); mark synthetic audio/image/video/text (deepfakes) as AI-generated/manipulated; disclose AI-generated text on matters of public interest; disclose emotion-recognition/biometric-categorisation use to exposed persons.</t>
  </si>
  <si>
    <t>Disclosure notices, watermarking/labelling mechanism</t>
  </si>
  <si>
    <t>Chapter IX</t>
  </si>
  <si>
    <t>Post-market monitoring and incident reporting</t>
  </si>
  <si>
    <t>Art.72</t>
  </si>
  <si>
    <t>Post-market monitoring by providers</t>
  </si>
  <si>
    <t>Provider - must establish and operate the post-market monitoring system.</t>
  </si>
  <si>
    <t>Establish and document a post-market monitoring system proportionate to the AI technology and risks, actively/systematically collecting and analysing performance data throughout the system's lifetime.</t>
  </si>
  <si>
    <t>Monitoring must detect performance degradation and security-relevant anomalies over time.</t>
  </si>
  <si>
    <t>Post-market monitoring plan and records</t>
  </si>
  <si>
    <t>Art.73</t>
  </si>
  <si>
    <t>Reporting of serious incidents</t>
  </si>
  <si>
    <t>Provider - primary reporting duty; Deployer - must also inform the Provider (or importer/distributor) and relevant authorities of any serious incident it identifies (per Art.26).</t>
  </si>
  <si>
    <t>Report serious incidents involving high-risk AI systems to market surveillance authorities without undue delay (specified timelines, incl. immediate for widespread infringement/critical infrastructure), investigate and take corrective action.</t>
  </si>
  <si>
    <t>Security incidents affecting the AI system fall within serious-incident reporting duties.</t>
  </si>
  <si>
    <t>Incident reporting procedure, incident register</t>
  </si>
  <si>
    <t>Chapter XII</t>
  </si>
  <si>
    <t>Penalties</t>
  </si>
  <si>
    <t>Art.99</t>
  </si>
  <si>
    <t>All roles (Provider, Deployer, Importer, Distributor, Authorised Representative, GPAI Provider) - penalties apply to whichever role is found non-compliant with its specific obligations.</t>
  </si>
  <si>
    <t>Ensure compliance to avoid administrative fines (tiered by severity, up to the higher of EUR 35m or 7% of global turnover for prohibited-practice breaches).</t>
  </si>
  <si>
    <t>Compliance/legal risk register</t>
  </si>
  <si>
    <t>Annex III</t>
  </si>
  <si>
    <t>High-risk AI system use cases</t>
  </si>
  <si>
    <t>Provider - uses this annex to classify its system (Art.6); Deployer - should also be aware of it, particularly public-sector and essential-services deployers subject to Art.27 FRIA.</t>
  </si>
  <si>
    <t>Check whether the AI system falls under a listed high-risk use case (biometrics, critical infrastructure, education, employment, essential services incl. access to insurance/credit, law enforcement, migration/asylum/border, justice/democratic processes).</t>
  </si>
  <si>
    <t>Use-case mapping against Annex III</t>
  </si>
  <si>
    <t>Annex IV</t>
  </si>
  <si>
    <t>Technical documentation content</t>
  </si>
  <si>
    <t>Provider - sole responsibility for producing technical documentation to this content standard (Art.11).</t>
  </si>
  <si>
    <t>Ensure technical documentation covers general description, design/development process and choices, monitoring/functioning/control, risk management measures, lifecycle changes, standards applied, and EU declaration of conformity.</t>
  </si>
  <si>
    <t>Technical documentation checklist</t>
  </si>
  <si>
    <t>OECD AI Principles (Recommendation of the Council on AI, updated May 2024) - Checklist, with CIA-Security Marking</t>
  </si>
  <si>
    <t>Section 1</t>
  </si>
  <si>
    <t>Values-based principles for trustworthy AI</t>
  </si>
  <si>
    <t>1.1</t>
  </si>
  <si>
    <t>Inclusive growth, sustainable development and well-being</t>
  </si>
  <si>
    <t>AI actors should proactively engage in responsible stewardship of trustworthy AI for beneficial outcomes: augmenting human capabilities, advancing inclusion of underrepresented populations, reducing inequalities, and protecting the environment.</t>
  </si>
  <si>
    <t>None - governance/policy-level recommendation.</t>
  </si>
  <si>
    <t>Responsible-AI stewardship programme, sustainability/inclusion assessment</t>
  </si>
  <si>
    <t>1.2</t>
  </si>
  <si>
    <t>Human rights, democratic values and fairness (incl. privacy)</t>
  </si>
  <si>
    <t>Respect the rule of law, human rights and democratic values throughout the AI system lifecycle: non-discrimination, equality, freedom, dignity, autonomy, privacy and data protection, diversity, fairness, social justice and labour rights; implement mechanisms such as human oversight where needed.</t>
  </si>
  <si>
    <t>Privacy and data protection require confidentiality controls over personal data used by AI systems.</t>
  </si>
  <si>
    <t>Fairness/bias testing, privacy impact assessment, human oversight design</t>
  </si>
  <si>
    <t>1.3</t>
  </si>
  <si>
    <t>Transparency and explainability</t>
  </si>
  <si>
    <t>AI actors should provide meaningful information appropriate to context: to foster understanding, inform of AI interaction, enable those affected to understand outcomes, and enable those adversely affected to challenge outcomes based on plain and easy-to-understand information on factors and logic.</t>
  </si>
  <si>
    <t>Transparency notices, explainability documentation</t>
  </si>
  <si>
    <t>1.4</t>
  </si>
  <si>
    <t>Robustness, security and safety</t>
  </si>
  <si>
    <t>AI systems should function appropriately and not pose unreasonable safety/security risks throughout their lifecycle; traceability of datasets, processes and decisions; risk-based approach with continuous risk management (security, safety, bias) applied by AI actors to each phase; safeguards to ensure control can be reasserted (e.g. deactivation) when risks materialize.</t>
  </si>
  <si>
    <t>Directly requires security throughout the lifecycle: resilience against attacks, traceability (integrity), safe operation (availability/safety) and the ability to disable a malfunctioning or compromised system.</t>
  </si>
  <si>
    <t>Robustness/security testing, risk management process, traceability records, deactivation/kill-switch controls</t>
  </si>
  <si>
    <t>1.5</t>
  </si>
  <si>
    <t>Accountability</t>
  </si>
  <si>
    <t>AI actors should be accountable for the proper functioning of AI systems and respect of the principles, based on their roles, context, and consistent with the state of the art; enable traceability, incl. logging, to analyse outcomes and responses to inquiry; apply a systematic risk management approach to each phase of the lifecycle on an ongoing basis.</t>
  </si>
  <si>
    <t>Traceability/logging for accountability protects integrity of the record and requires availability of logs for inquiry.</t>
  </si>
  <si>
    <t>Accountability framework, role assignment, logging and audit trail</t>
  </si>
  <si>
    <t>Section 2</t>
  </si>
  <si>
    <t>Policy recommendations for governments (organizational relevance)</t>
  </si>
  <si>
    <t>2.1</t>
  </si>
  <si>
    <t>Investing in AI research and development</t>
  </si>
  <si>
    <t>Foster investment in R&amp;D, incl. long-term public investment and encouragement of private investment, to spur innovation in trustworthy AI.</t>
  </si>
  <si>
    <t>R&amp;D investment plan / innovation budget</t>
  </si>
  <si>
    <t>2.2</t>
  </si>
  <si>
    <t>Fostering an inclusive AI-enabling ecosystem</t>
  </si>
  <si>
    <t>Foster accessible AI ecosystems with digital infrastructure, technologies, mechanisms to share data and knowledge responsibly and share metrics to measure AI research/development/deployment/growth.</t>
  </si>
  <si>
    <t>Ecosystem participation, data-sharing agreements</t>
  </si>
  <si>
    <t>2.3</t>
  </si>
  <si>
    <t>Shaping an enabling interoperable governance and policy environment</t>
  </si>
  <si>
    <t>Promote a policy environment that supports agile transition from R&amp;D to deployment, incl. mechanisms such as regulatory sandboxes to experiment with AI safely, and work towards interoperable governance frameworks.</t>
  </si>
  <si>
    <t>Regulatory sandbox participation, policy/standards mapping</t>
  </si>
  <si>
    <t>2.4</t>
  </si>
  <si>
    <t>Building human capacity and preparing for labour-market transformation</t>
  </si>
  <si>
    <t>Equip people with skills for AI, support workers in transitioning jobs affected by AI, and ensure protection of labour rights.</t>
  </si>
  <si>
    <t>Workforce reskilling programme, labour-impact assessment</t>
  </si>
  <si>
    <t>2.5</t>
  </si>
  <si>
    <t>International co-operation for trustworthy AI</t>
  </si>
  <si>
    <t>Actively co-operate across borders and sectors to advance responsible stewardship of trustworthy AI, incl. common understanding of AI actor obligations, interoperable governance, standards and metrics.</t>
  </si>
  <si>
    <t>Participation in international AI governance initiatives</t>
  </si>
  <si>
    <t>Section 3</t>
  </si>
  <si>
    <t>2024 update focus areas</t>
  </si>
  <si>
    <t>3.1</t>
  </si>
  <si>
    <t>General-purpose and generative AI risks</t>
  </si>
  <si>
    <t>Address risks specific to general-purpose/foundation and generative AI models, incl. safety, misuse and information-integrity risks (e.g. disinformation, deepfakes).</t>
  </si>
  <si>
    <t>GPAI/genAI risk assessment, content provenance/watermarking</t>
  </si>
  <si>
    <t>3.2</t>
  </si>
  <si>
    <t>Environmental footprint</t>
  </si>
  <si>
    <t>Consider and where possible measure/reduce the environmental footprint (energy, compute, resources) of AI systems across their lifecycle.</t>
  </si>
  <si>
    <t>Environmental impact tracking (compute/energy use)</t>
  </si>
  <si>
    <t>3.3</t>
  </si>
  <si>
    <t>Intellectual property rights</t>
  </si>
  <si>
    <t>Respect intellectual property rights, incl. in relation to training data and generated content.</t>
  </si>
  <si>
    <t>IP due-diligence, training-data licensing review</t>
  </si>
  <si>
    <t>3.4</t>
  </si>
  <si>
    <t>Multi-stakeholder co-operation on risk</t>
  </si>
  <si>
    <t>Engage multiple stakeholders (government, industry, civil society, academia, technical community) to manage AI risks and information integrity collaboratively.</t>
  </si>
  <si>
    <t>Multi-stakeholder engagement records</t>
  </si>
  <si>
    <t>NIST AI RMF 1.0 (NIST.AI.100-1) - Category Checklist, with CIA-Security Marking</t>
  </si>
  <si>
    <t>Category outcome</t>
  </si>
  <si>
    <t>Suggested action</t>
  </si>
  <si>
    <t>GOVERN</t>
  </si>
  <si>
    <t>GOVERN - policy, accountability and culture (cross-cutting; applies to the whole organization)</t>
  </si>
  <si>
    <t>Govern 1</t>
  </si>
  <si>
    <t>Policies, processes, procedures and practices for mapping, measuring and managing AI risk are established, documented and effectively implemented, reflecting organizational risk tolerance.</t>
  </si>
  <si>
    <t>Establish AI risk-management policies/processes covering legal/regulatory requirements, and review/update them regularly.</t>
  </si>
  <si>
    <t>None - governance/process-level outcome.</t>
  </si>
  <si>
    <t>AI risk management policy, process documentation, review log</t>
  </si>
  <si>
    <t>Govern 2</t>
  </si>
  <si>
    <t>Accountability structures are in place so appropriate teams and individuals are empowered, responsible and trained for mapping, measuring and managing AI risks.</t>
  </si>
  <si>
    <t>Assign clear roles/responsibilities for AI risk management and provide training.</t>
  </si>
  <si>
    <t>RACI, role descriptions, training records</t>
  </si>
  <si>
    <t>Govern 3</t>
  </si>
  <si>
    <t>Workforce diversity, equity, inclusion and accessibility processes are prioritized, and organizational risk management supported by a diverse team.</t>
  </si>
  <si>
    <t>Ensure diverse, multidisciplinary teams involved in AI risk decisions.</t>
  </si>
  <si>
    <t>Team composition records</t>
  </si>
  <si>
    <t>Govern 4</t>
  </si>
  <si>
    <t>Organizational teams are committed to a culture that considers and communicates AI risk.</t>
  </si>
  <si>
    <t>Foster risk-aware culture, incl. incentives, policies for documenting risks/tradeoffs, and processes for flagging risks.</t>
  </si>
  <si>
    <t>Risk-culture initiatives, internal reporting mechanisms</t>
  </si>
  <si>
    <t>Govern 5</t>
  </si>
  <si>
    <t>Processes are in place for robust engagement with relevant AI actors (incl. external stakeholders and end users).</t>
  </si>
  <si>
    <t>Establish mechanisms to solicit and incorporate feedback from relevant AI actors.</t>
  </si>
  <si>
    <t>Stakeholder engagement plan, feedback records</t>
  </si>
  <si>
    <t>Govern 6</t>
  </si>
  <si>
    <t>Policies and procedures are in place to address AI risks and benefits arising from third-party software/data/systems and other supply-chain issues.</t>
  </si>
  <si>
    <t>Establish third-party/AI supply-chain risk management processes, incl. contracts and due diligence.</t>
  </si>
  <si>
    <t>Third-party/supply-chain AI components (models, data, libraries) are a confidentiality risk vector requiring security due diligence, similar to ISO 27001 supplier controls.</t>
  </si>
  <si>
    <t>Third-party AI risk policy, vendor due-diligence records, contract clauses</t>
  </si>
  <si>
    <t>MAP</t>
  </si>
  <si>
    <t>MAP - context, categorization and impacts (system-level)</t>
  </si>
  <si>
    <t>Map 1</t>
  </si>
  <si>
    <t>Context is established and understood: intended purpose, business value, risk tolerances, requirements, and impacted stakeholders identified.</t>
  </si>
  <si>
    <t>Document AI system context: purpose, users, requirements (incl. legal/regulatory and security requirements).</t>
  </si>
  <si>
    <t>Context/use-case documentation</t>
  </si>
  <si>
    <t>Map 2</t>
  </si>
  <si>
    <t>Categorization of the AI system is performed, incl. specific tasks and methods used to implement them.</t>
  </si>
  <si>
    <t>Categorize the AI system by task, method (e.g. classification, generative), and risk level.</t>
  </si>
  <si>
    <t>System categorization record</t>
  </si>
  <si>
    <t>Map 3</t>
  </si>
  <si>
    <t>AI capabilities, targeted usage, goals and expected benefits/costs are understood compared with appropriate benchmarks.</t>
  </si>
  <si>
    <t>Document expected AI system performance and benchmarks; consider failure/edge cases.</t>
  </si>
  <si>
    <t>Benchmarking documentation, cost-benefit analysis</t>
  </si>
  <si>
    <t>Map 4</t>
  </si>
  <si>
    <t>Risks and benefits are mapped for all components of the AI system, incl. third-party software, data and other supply-chain elements.</t>
  </si>
  <si>
    <t>Identify and document risks/benefits of each AI system component, incl. third-party/open-source elements.</t>
  </si>
  <si>
    <t>Mapping risks of models/data/components from the supply chain is core to protecting confidentiality, integrity and availability of the system.</t>
  </si>
  <si>
    <t>Component risk mapping, SBOM/data lineage</t>
  </si>
  <si>
    <t>Map 5</t>
  </si>
  <si>
    <t>Impacts to individuals, groups, communities, organizations and society are characterized/understood.</t>
  </si>
  <si>
    <t>Assess likelihood and magnitude of impacts, incl. via consultation with affected communities where relevant.</t>
  </si>
  <si>
    <t>Impact assessment documentation</t>
  </si>
  <si>
    <t>MEASURE</t>
  </si>
  <si>
    <t>MEASURE - testing, evaluation and monitoring (system-level)</t>
  </si>
  <si>
    <t>Measure 1</t>
  </si>
  <si>
    <t>Appropriate methods and metrics are identified and applied to AI risks, and effectiveness of metrics evaluated.</t>
  </si>
  <si>
    <t>Select and document metrics for measuring AI risks (performance, fairness, robustness, etc.).</t>
  </si>
  <si>
    <t>Metrics catalogue, methodology documentation</t>
  </si>
  <si>
    <t>Measure 2</t>
  </si>
  <si>
    <t>AI systems are evaluated for trustworthy characteristics: valid/reliable, safe, secure/resilient, accountable/transparent, explainable/interpretable, privacy-enhanced, fair with harmful bias managed.</t>
  </si>
  <si>
    <t>Test and document evaluation of each trustworthy characteristic, incl. security and resilience testing against adversarial/abuse scenarios.</t>
  </si>
  <si>
    <t>'Secure and resilient' is an explicit trustworthy characteristic requiring testing against attacks, unauthorized access and manipulation - directly CIA.</t>
  </si>
  <si>
    <t>Test reports covering security/resilience, robustness, bias, privacy</t>
  </si>
  <si>
    <t>Measure 3</t>
  </si>
  <si>
    <t>Mechanisms for tracking identified AI risks over time are in place.</t>
  </si>
  <si>
    <t>Implement ongoing monitoring/tracking of identified risks (incl. security incidents, drift, anomalies) with regular review.</t>
  </si>
  <si>
    <t>Continuous monitoring must detect security-relevant drift, anomalies and incidents to preserve integrity and availability.</t>
  </si>
  <si>
    <t>Risk tracking log, monitoring dashboards, incident tracking</t>
  </si>
  <si>
    <t>Measure 4</t>
  </si>
  <si>
    <t>Feedback about efficacy of measurement is gathered and assessed.</t>
  </si>
  <si>
    <t>Gather feedback (incl. from red-teaming, external audits, user reports) and use it to improve measurement approaches.</t>
  </si>
  <si>
    <t>Feedback records, red-team/audit reports</t>
  </si>
  <si>
    <t>MANAGE</t>
  </si>
  <si>
    <t>MANAGE - risk prioritization, treatment and response (system-level)</t>
  </si>
  <si>
    <t>Manage 1</t>
  </si>
  <si>
    <t>AI risks based on assessments from the Map and Measure functions are prioritized, responded to and managed.</t>
  </si>
  <si>
    <t>Prioritize and treat AI risks per organizational risk tolerance; document risk response decisions.</t>
  </si>
  <si>
    <t>Risk treatment plan, prioritization criteria</t>
  </si>
  <si>
    <t>Manage 2</t>
  </si>
  <si>
    <t>Strategies to maximize AI benefits and minimize negative impacts are planned, prepared, implemented, documented and informed by input from relevant AI actors.</t>
  </si>
  <si>
    <t>Implement mitigation strategies and periodically reassess effectiveness.</t>
  </si>
  <si>
    <t>Mitigation plan, effectiveness reviews</t>
  </si>
  <si>
    <t>Manage 3</t>
  </si>
  <si>
    <t>AI risks and benefits from third-party entities are managed.</t>
  </si>
  <si>
    <t>Monitor and manage risks from third-party AI systems/components throughout their lifecycle, incl. contractual and technical controls.</t>
  </si>
  <si>
    <t>Managing security risk from third-party AI systems/components on an ongoing basis (patches, vulnerabilities, access).</t>
  </si>
  <si>
    <t>Third-party risk register, ongoing supplier monitoring</t>
  </si>
  <si>
    <t>Manage 4</t>
  </si>
  <si>
    <t>Risk treatments, incl. response and recovery, and communication plans for the identified and measured AI risks are documented and monitored regularly.</t>
  </si>
  <si>
    <t>Establish and test incident response/recovery plans for AI-related incidents; maintain communication plans for affected stakeholders and authorities.</t>
  </si>
  <si>
    <t>Incident response and recovery for AI systems directly protects confidentiality, integrity and availability when things go wrong.</t>
  </si>
  <si>
    <t>AI incident response/recovery plan, communication plan, test/exercise records</t>
  </si>
  <si>
    <t>ISO/IEC 42005:2025 - AI System Impact Assessment (AISIA) Checklist, with CIA-Security Marking</t>
  </si>
  <si>
    <t>Guidance point</t>
  </si>
  <si>
    <t>Clause 4</t>
  </si>
  <si>
    <t>General / terms and definitions</t>
  </si>
  <si>
    <t>4</t>
  </si>
  <si>
    <t>Terms, definitions and overview of AI system impact assessment (AISIA)</t>
  </si>
  <si>
    <t>Adopt the standard's terminology (AI system impact assessment, affected stakeholder, AI actor, etc.) and understand its purpose: assessing how an AI system and its foreseeable applications may affect individuals, groups and society across the lifecycle.</t>
  </si>
  <si>
    <t>None - ethical/societal/governance guidance point.</t>
  </si>
  <si>
    <t>Glossary/definitions reference</t>
  </si>
  <si>
    <t>Clause 5</t>
  </si>
  <si>
    <t>Developing and implementing an AI system impact assessment (AISIA) process</t>
  </si>
  <si>
    <t>Purpose and scope of the AISIA process</t>
  </si>
  <si>
    <t>Establish why and for which AI systems/use cases the organization will perform impact assessments, and how the process applies across sizes/types of organization.</t>
  </si>
  <si>
    <t>AISIA process charter/scope statement</t>
  </si>
  <si>
    <t>Roles and responsibilities</t>
  </si>
  <si>
    <t>Assign roles for conducting, reviewing and approving impact assessments (e.g. assessors, AI system owner, independent reviewer, affected-party liaison).</t>
  </si>
  <si>
    <t>RACI for AISIA, appointment records</t>
  </si>
  <si>
    <t>Triggers and timing across the AI system lifecycle</t>
  </si>
  <si>
    <t>Determine when an AISIA is performed or updated: initial design, before deployment, on significant change, periodically in operation, and at decommissioning.</t>
  </si>
  <si>
    <t>AISIA trigger criteria, lifecycle checkpoint schedule</t>
  </si>
  <si>
    <t>5.4</t>
  </si>
  <si>
    <t>Planning the assessment</t>
  </si>
  <si>
    <t>Plan scope, resources, timeline, methodology and tools for each AISIA, proportionate to the AI system's risk and context.</t>
  </si>
  <si>
    <t>AISIA plan per system</t>
  </si>
  <si>
    <t>5.5</t>
  </si>
  <si>
    <t>Understanding context and intended/foreseeable use</t>
  </si>
  <si>
    <t>Gather information on the AI system's purpose, intended use, reasonably foreseeable misuse, deployment context and data used.</t>
  </si>
  <si>
    <t>Context/use documentation, misuse scenarios</t>
  </si>
  <si>
    <t>5.6</t>
  </si>
  <si>
    <t>Identifying affected stakeholders</t>
  </si>
  <si>
    <t>Identify individuals, groups, communities and society that could be affected by the AI system, directly or indirectly.</t>
  </si>
  <si>
    <t>Affected-stakeholder inventory</t>
  </si>
  <si>
    <t>5.7</t>
  </si>
  <si>
    <t>Identifying potential impacts</t>
  </si>
  <si>
    <t>Identify potential positive and negative impacts (e.g. on rights, safety, fairness, autonomy, economic, environmental, security-related harms) arising from intended and foreseeable use.</t>
  </si>
  <si>
    <t>Identification should include impacts from security failures (e.g. unauthorized disclosure or manipulation of personal data) alongside ethical/societal harms.</t>
  </si>
  <si>
    <t>Impact identification workshop outputs/checklist</t>
  </si>
  <si>
    <t>5.8</t>
  </si>
  <si>
    <t>Analysing and evaluating impacts</t>
  </si>
  <si>
    <t>Analyse likelihood and severity of identified impacts, and evaluate them against organizational risk criteria and stakeholder expectations.</t>
  </si>
  <si>
    <t>Impact analysis/evaluation records</t>
  </si>
  <si>
    <t>5.9</t>
  </si>
  <si>
    <t>Determining and implementing mitigation actions</t>
  </si>
  <si>
    <t>Identify options to prevent, reduce or otherwise address negative impacts, decide and implement appropriate actions, and record residual impact.</t>
  </si>
  <si>
    <t>Mitigation action plan, residual impact sign-off</t>
  </si>
  <si>
    <t>5.10</t>
  </si>
  <si>
    <t>Review, monitoring and reassessment</t>
  </si>
  <si>
    <t>Monitor the AI system and its context for change, and review/update the impact assessment periodically or when triggers in 5.3 occur.</t>
  </si>
  <si>
    <t>Review schedule, reassessment records</t>
  </si>
  <si>
    <t>5.11</t>
  </si>
  <si>
    <t>Integration with AI risk management and the AI management system</t>
  </si>
  <si>
    <t>Integrate AISIA outputs into the organization's AI risk assessment/treatment process and AI management system (e.g. ISO/IEC 42001 clauses 6.1.2 and 6.1.4).</t>
  </si>
  <si>
    <t>AIMS/risk-register cross-references</t>
  </si>
  <si>
    <t>Clause 6</t>
  </si>
  <si>
    <t>Documenting the AI system impact assessment</t>
  </si>
  <si>
    <t>6.1</t>
  </si>
  <si>
    <t>General documentation requirements</t>
  </si>
  <si>
    <t>Determine what information must be documented for each AISIA to support transparency, accountability and traceability of the process and its outcomes.</t>
  </si>
  <si>
    <t>Documentation standard/template</t>
  </si>
  <si>
    <t>Content of the impact assessment record</t>
  </si>
  <si>
    <t>Document scope, context, affected stakeholders, identified impacts, analysis/evaluation, decisions, mitigation actions and residual impacts, and who approved the assessment.</t>
  </si>
  <si>
    <t>Completed AISIA report(s)</t>
  </si>
  <si>
    <t>Retention, version control and integrity of records</t>
  </si>
  <si>
    <t>Maintain AISIA documentation over time, with version control, so records remain accurate, traceable and available for the required retention period.</t>
  </si>
  <si>
    <t>Impact-assessment records must retain integrity and be protected from unauthorized alteration to remain a trustworthy audit trail.</t>
  </si>
  <si>
    <t>Document retention policy, version history</t>
  </si>
  <si>
    <t>6.4</t>
  </si>
  <si>
    <t>Communication of results</t>
  </si>
  <si>
    <t>Determine what impact assessment information is communicated to interested parties (e.g. management, regulators, affected stakeholders) and how.</t>
  </si>
  <si>
    <t>Communication plan/records, published summaries where applicable</t>
  </si>
  <si>
    <t>6.5</t>
  </si>
  <si>
    <t>Confidentiality and access control of assessment records</t>
  </si>
  <si>
    <t>Control access to AISIA documentation appropriately, since records may contain sensitive information about individuals, vulnerabilities or system design.</t>
  </si>
  <si>
    <t>Impact assessment records can reveal personal data, vulnerabilities or system weaknesses and need confidentiality protection.</t>
  </si>
  <si>
    <t>Access control on AISIA repository</t>
  </si>
  <si>
    <t>Annexes</t>
  </si>
  <si>
    <t>Informative annexes</t>
  </si>
  <si>
    <t>Guidance for use with ISO/IEC 42001</t>
  </si>
  <si>
    <t>Use this annex to align the AISIA process with the AI management system requirements of ISO/IEC 42001, incl. clauses 6.1.2 (AI risk assessment), 6.1.4 (AI system impact assessment) and Annex A.5 controls.</t>
  </si>
  <si>
    <t>Cross-reference to ISO 42001 6.1.2/6.1.4/A.5 items in this workbook</t>
  </si>
  <si>
    <t>Annex B</t>
  </si>
  <si>
    <t>Guidance for use with ISO/IEC 23894</t>
  </si>
  <si>
    <t>Use this annex to align the AISIA process with AI risk management guidance in ISO/IEC 23894 (built on ISO 31000).</t>
  </si>
  <si>
    <t>Cross-reference to AI risk management process</t>
  </si>
  <si>
    <t>Annex C-D</t>
  </si>
  <si>
    <t>Example impact categories and considerations</t>
  </si>
  <si>
    <t>Consider the standard's example impact categories (e.g. individual, group, societal, environmental) and illustrative considerations when identifying impacts in 5.7.</t>
  </si>
  <si>
    <t>Impact category checklist used in assessments</t>
  </si>
  <si>
    <t>Annex E</t>
  </si>
  <si>
    <t>AI system impact assessment template</t>
  </si>
  <si>
    <t>Use or adapt the standard's AISIA template to structure and document individual assessments consistently across the organization.</t>
  </si>
  <si>
    <t>Organization's adapted AISIA template</t>
  </si>
  <si>
    <t>ISO/IEC 27001:2022 - Clause &amp; Annex A Checklist, with CIA Marking</t>
  </si>
  <si>
    <t>Why CIA is involved</t>
  </si>
  <si>
    <t>Clauses 4-10 (mandatory ISMS requirements)</t>
  </si>
  <si>
    <t>Context of the organization</t>
  </si>
  <si>
    <t>Determine external/internal issues relevant to ISMS purpose and intended outcomes.</t>
  </si>
  <si>
    <t>Context analysis (PESTLE/SWOT), issue register</t>
  </si>
  <si>
    <t>Understanding needs and expectations of interested parties</t>
  </si>
  <si>
    <t>Identify interested parties, their ISMS-relevant requirements (legal, regulatory, contractual) and which are addressed by the ISMS.</t>
  </si>
  <si>
    <t>Interested-parties register, legal/regulatory register (e.g. PDPPL, QCB/CRA)</t>
  </si>
  <si>
    <t>Determining the scope of the ISMS</t>
  </si>
  <si>
    <t>Define and document ISMS boundaries and applicability, considering 4.1, 4.2 and interfaces/dependencies.</t>
  </si>
  <si>
    <t>Approved scope statement</t>
  </si>
  <si>
    <t>Information security management system</t>
  </si>
  <si>
    <t>Establish, implement, maintain and continually improve the ISMS, including needed processes and interactions.</t>
  </si>
  <si>
    <t>ISMS manual/process map</t>
  </si>
  <si>
    <t>5</t>
  </si>
  <si>
    <t>Leadership</t>
  </si>
  <si>
    <t>Top management demonstrates commitment: policy/objectives aligned to strategy, ISMS integrated in processes, resources provided, importance communicated, outcomes ensured, improvement promoted.</t>
  </si>
  <si>
    <t>Management minutes, budget approvals, sponsor communications</t>
  </si>
  <si>
    <t>Policy</t>
  </si>
  <si>
    <t>Establish an information security policy suited to the purpose, providing objectives/framework, commitment to requirements and continual improvement; documented, communicated, available to interested parties.</t>
  </si>
  <si>
    <t>Signed policy, distribution/acknowledgement records</t>
  </si>
  <si>
    <t>Organizational roles, responsibilities and authorities</t>
  </si>
  <si>
    <t>Assign and communicate ISMS roles, incl. responsibility for conformity and for reporting performance to top management.</t>
  </si>
  <si>
    <t>RACI, role descriptions, appointment letters</t>
  </si>
  <si>
    <t>6</t>
  </si>
  <si>
    <t>Planning</t>
  </si>
  <si>
    <t>Plan actions for risks/opportunities from 4.1 and 4.2 so ISMS achieves outcomes, prevents undesired effects and improves; integrate and evaluate effectiveness.</t>
  </si>
  <si>
    <t>Information security risk assessment</t>
  </si>
  <si>
    <t>Define and apply a risk assessment process: risk criteria, repeatable/comparable results, identify risks and owners, analyse likelihood/consequence, evaluate against criteria; retain documented information.</t>
  </si>
  <si>
    <t>Security risk assessment process covering confidentiality, integrity and availability risks.</t>
  </si>
  <si>
    <t>Risk methodology, risk register, risk assessment reports</t>
  </si>
  <si>
    <t>Information security risk treatment</t>
  </si>
  <si>
    <t>Select treatment options; determine all necessary controls (compare against Annex A); produce Statement of Applicability with justification for inclusions/exclusions; formulate treatment plan; obtain risk owner approval of plan and residual risk.</t>
  </si>
  <si>
    <t>Selects and treats security risks/controls across CIA.</t>
  </si>
  <si>
    <t>Risk treatment plan, SoA, residual risk acceptance</t>
  </si>
  <si>
    <t>Information security objectives and planning to achieve them</t>
  </si>
  <si>
    <t>Set measurable, monitored, communicated objectives consistent with policy; plan what, resources, owner, deadline, evaluation.</t>
  </si>
  <si>
    <t>Objectives register, KPI/KRI plan</t>
  </si>
  <si>
    <t>Carry out ISMS changes (identified as needed) in a planned manner.</t>
  </si>
  <si>
    <t>Change records for ISMS, impact assessments</t>
  </si>
  <si>
    <t>7</t>
  </si>
  <si>
    <t>Support</t>
  </si>
  <si>
    <t>Determine and provide resources needed for establishing, implementing, maintaining and improving the ISMS.</t>
  </si>
  <si>
    <t>Budget, staffing plan</t>
  </si>
  <si>
    <t>Determine necessary competence of persons affecting security performance; ensure competence via education/training/experience; take actions and retain evidence.</t>
  </si>
  <si>
    <t>Skills matrix, training/certification records</t>
  </si>
  <si>
    <t>Ensure persons are aware of policy, their contribution to ISMS effectiveness and implications of non-conformity.</t>
  </si>
  <si>
    <t>Awareness programme, attendance/phishing-test records</t>
  </si>
  <si>
    <t>Determine internal/external ISMS communications: what, when, with whom, who communicates, and process.</t>
  </si>
  <si>
    <t>ISMS includes documented information required by the standard and determined necessary for effectiveness.</t>
  </si>
  <si>
    <t>Creating and updating</t>
  </si>
  <si>
    <t>Ensure appropriate identification/description, format/media, review and approval.</t>
  </si>
  <si>
    <t>Document templates, approval workflow</t>
  </si>
  <si>
    <t>Control availability, protection, distribution, access, storage, version control, retention/disposition; control external-origin documents.</t>
  </si>
  <si>
    <t>Protecting documented information from unauthorized access and alteration.</t>
  </si>
  <si>
    <t>DMS configuration, access and retention rules</t>
  </si>
  <si>
    <t>8</t>
  </si>
  <si>
    <t>Operation</t>
  </si>
  <si>
    <t>Plan, implement and control processes to meet requirements and 6.1 actions; set criteria; keep documented information; control planned changes and outsourced processes.</t>
  </si>
  <si>
    <t>Perform risk assessments at planned intervals or on significant change; retain results.</t>
  </si>
  <si>
    <t>Operational security risk assessment.</t>
  </si>
  <si>
    <t>Implement the risk treatment plan; retain results of treatment.</t>
  </si>
  <si>
    <t>Operational implementation of security risk treatment.</t>
  </si>
  <si>
    <t>9</t>
  </si>
  <si>
    <t>Determine what to monitor/measure, methods, when, who; evaluate security performance and ISMS effectiveness; retain evidence.</t>
  </si>
  <si>
    <t>Metrics dashboards, KPI reports</t>
  </si>
  <si>
    <t>Conduct internal audits at planned intervals to check conformity to own requirements and the standard, and effective implementation.</t>
  </si>
  <si>
    <t>Audit programme, audit reports</t>
  </si>
  <si>
    <t>Audit plan, auditor independence records, findings log</t>
  </si>
  <si>
    <t>Top management reviews the ISMS at planned intervals for suitability, adequacy, effectiveness.</t>
  </si>
  <si>
    <t>Management review schedule and minutes</t>
  </si>
  <si>
    <t>Consider status of previous actions, changes in issues, feedback on performance (NCs, monitoring, audits, objectives), interested-party feedback, risk assessment/treatment status, improvement opportunities.</t>
  </si>
  <si>
    <t>Record decisions on improvement opportunities and any ISMS changes; retain as documented information.</t>
  </si>
  <si>
    <t>10</t>
  </si>
  <si>
    <t>Continually improve the suitability, adequacy and effectiveness of the ISMS.</t>
  </si>
  <si>
    <t>Improvement register, trend analysis</t>
  </si>
  <si>
    <t>React to NCs, evaluate need to eliminate causes, implement and review corrective action for effectiveness, update ISMS; retain evidence.</t>
  </si>
  <si>
    <t>Annex A controls (93)</t>
  </si>
  <si>
    <t>A.5</t>
  </si>
  <si>
    <t>Organizational controls</t>
  </si>
  <si>
    <t>Policies for information security</t>
  </si>
  <si>
    <t>Define, approve, publish, communicate and review the information security policy and topic-specific policies at planned intervals.</t>
  </si>
  <si>
    <t>Policy set, review history</t>
  </si>
  <si>
    <t>Information security roles and responsibilities</t>
  </si>
  <si>
    <t>Define and allocate security roles per organizational needs.</t>
  </si>
  <si>
    <t>RACI, job descriptions</t>
  </si>
  <si>
    <t>Segregation of duties</t>
  </si>
  <si>
    <t>Segregate conflicting duties and areas of responsibility.</t>
  </si>
  <si>
    <t>Segregation of duties reduces risk of undetected fraud/error affecting integrity.</t>
  </si>
  <si>
    <t>SoD matrix, access reviews</t>
  </si>
  <si>
    <t>Management responsibilities</t>
  </si>
  <si>
    <t>Management requires all personnel to apply security per policies and procedures.</t>
  </si>
  <si>
    <t>Management directives, acknowledgements</t>
  </si>
  <si>
    <t>Contact with authorities</t>
  </si>
  <si>
    <t>Maintain contact with relevant authorities (e.g. regulator, CERT, law enforcement).</t>
  </si>
  <si>
    <t>Contact list, notification procedure</t>
  </si>
  <si>
    <t>Contact with special interest groups</t>
  </si>
  <si>
    <t>Maintain contact with security forums and professional associations.</t>
  </si>
  <si>
    <t>Memberships, advisory feeds</t>
  </si>
  <si>
    <t>Threat intelligence</t>
  </si>
  <si>
    <t>Collect and analyse information on threats to produce threat intelligence.</t>
  </si>
  <si>
    <t>Threat intelligence informs defenses across confidentiality, integrity and availability.</t>
  </si>
  <si>
    <t>TI sources, TI reports, use in risk/detection</t>
  </si>
  <si>
    <t>Information security in project management</t>
  </si>
  <si>
    <t>Integrate security into project management across all projects.</t>
  </si>
  <si>
    <t>Project security checklists, security gates</t>
  </si>
  <si>
    <t>Inventory of information and other associated assets</t>
  </si>
  <si>
    <t>Develop and maintain inventory of information and associated assets with owners.</t>
  </si>
  <si>
    <t>Asset inventory is foundational to knowing what needs protecting.</t>
  </si>
  <si>
    <t>Asset register/CMDB</t>
  </si>
  <si>
    <t>Acceptable use of information and other associated assets</t>
  </si>
  <si>
    <t>Identify, document and implement rules for acceptable use and handling.</t>
  </si>
  <si>
    <t>Acceptable use limits misuse that could expose information.</t>
  </si>
  <si>
    <t>AUP, user acknowledgement</t>
  </si>
  <si>
    <t>Return of assets</t>
  </si>
  <si>
    <t>Personnel and other parties return all assets on change or termination.</t>
  </si>
  <si>
    <t>Ensures assets/data are not retained inappropriately after use.</t>
  </si>
  <si>
    <t>Offboarding checklist</t>
  </si>
  <si>
    <t>5.12</t>
  </si>
  <si>
    <t>Classification of information</t>
  </si>
  <si>
    <t>Classify information by confidentiality, integrity, availability and interested-party requirements.</t>
  </si>
  <si>
    <t>Classification underpins confidentiality protection.</t>
  </si>
  <si>
    <t>Classification scheme, classified inventory</t>
  </si>
  <si>
    <t>5.13</t>
  </si>
  <si>
    <t>Labelling of information</t>
  </si>
  <si>
    <t>Develop and implement labelling procedures per classification scheme.</t>
  </si>
  <si>
    <t>Labelling supports correct handling per confidentiality level.</t>
  </si>
  <si>
    <t>Labelling procedure, DLP/label config</t>
  </si>
  <si>
    <t>5.14</t>
  </si>
  <si>
    <t>Information transfer</t>
  </si>
  <si>
    <t>Establish transfer rules, procedures or agreements for all transfer facilities.</t>
  </si>
  <si>
    <t>Transfer controls protect data in transit.</t>
  </si>
  <si>
    <t>Transfer policy, NDAs/agreements, secure transfer tools</t>
  </si>
  <si>
    <t>5.15</t>
  </si>
  <si>
    <t>Access control</t>
  </si>
  <si>
    <t>Establish and implement rules to control physical and logical access based on business and security requirements.</t>
  </si>
  <si>
    <t>Core access control protecting all three properties.</t>
  </si>
  <si>
    <t>Access control policy</t>
  </si>
  <si>
    <t>5.16</t>
  </si>
  <si>
    <t>Identity management</t>
  </si>
  <si>
    <t>Manage the full life cycle of identities.</t>
  </si>
  <si>
    <t>Identity lifecycle management underpins access security.</t>
  </si>
  <si>
    <t>Joiner/mover/leaver process, IAM records</t>
  </si>
  <si>
    <t>5.17</t>
  </si>
  <si>
    <t>Authentication information</t>
  </si>
  <si>
    <t>Control allocation and management of authentication information incl. user guidance.</t>
  </si>
  <si>
    <t>Authentication information protects access to systems.</t>
  </si>
  <si>
    <t>Password/MFA standard, credential issuance process</t>
  </si>
  <si>
    <t>5.18</t>
  </si>
  <si>
    <t>Access rights</t>
  </si>
  <si>
    <t>Provision, review, modify and remove access rights per policy.</t>
  </si>
  <si>
    <t>Access rights management controls who can reach what.</t>
  </si>
  <si>
    <t>Access requests, periodic recertification</t>
  </si>
  <si>
    <t>5.19</t>
  </si>
  <si>
    <t>Information security in supplier relationships</t>
  </si>
  <si>
    <t>Define and implement processes to manage supplier-related security risks.</t>
  </si>
  <si>
    <t>Supplier risk affects confidentiality, integrity and availability of shared assets.</t>
  </si>
  <si>
    <t>Supplier security policy, risk assessments</t>
  </si>
  <si>
    <t>5.20</t>
  </si>
  <si>
    <t>Addressing information security within supplier agreements</t>
  </si>
  <si>
    <t>Establish and agree relevant security requirements with each supplier.</t>
  </si>
  <si>
    <t>Contractual security requirements with suppliers.</t>
  </si>
  <si>
    <t>Contract security clauses, DPAs</t>
  </si>
  <si>
    <t>5.21</t>
  </si>
  <si>
    <t>Managing information security in the ICT supply chain</t>
  </si>
  <si>
    <t>Manage security risks in ICT products/services supply chain.</t>
  </si>
  <si>
    <t>ICT supply chain risk (compromised components/software).</t>
  </si>
  <si>
    <t>Supply chain requirements, SBOM/attestations</t>
  </si>
  <si>
    <t>5.22</t>
  </si>
  <si>
    <t>Monitoring, review and change management of supplier services</t>
  </si>
  <si>
    <t>Regularly monitor, review, evaluate and manage change in supplier practices and service delivery.</t>
  </si>
  <si>
    <t>Ongoing supplier monitoring for security posture.</t>
  </si>
  <si>
    <t>Supplier reviews, SLA/security reports, audit rights</t>
  </si>
  <si>
    <t>5.23</t>
  </si>
  <si>
    <t>Information security for use of cloud services</t>
  </si>
  <si>
    <t>Establish processes for acquisition, use, management and exit of cloud services.</t>
  </si>
  <si>
    <t>Cloud security spans all three properties.</t>
  </si>
  <si>
    <t>Cloud policy, shared-responsibility matrix, exit plan</t>
  </si>
  <si>
    <t>5.24</t>
  </si>
  <si>
    <t>Information security incident management planning and preparation</t>
  </si>
  <si>
    <t>Plan and prepare incident management: processes, roles, responsibilities.</t>
  </si>
  <si>
    <t>Incident planning underpins ability to protect CIA when incidents occur.</t>
  </si>
  <si>
    <t>IR policy/plan, roles, playbooks</t>
  </si>
  <si>
    <t>5.25</t>
  </si>
  <si>
    <t>Assessment and decision on information security events</t>
  </si>
  <si>
    <t>Assess events and decide whether to classify as incidents.</t>
  </si>
  <si>
    <t>Assessing events to determine CIA impact.</t>
  </si>
  <si>
    <t>Triage criteria, event logs</t>
  </si>
  <si>
    <t>5.26</t>
  </si>
  <si>
    <t>Response to information security incidents</t>
  </si>
  <si>
    <t>Respond to incidents per documented procedures.</t>
  </si>
  <si>
    <t>Responding to incidents restores CIA.</t>
  </si>
  <si>
    <t>Incident records, response evidence</t>
  </si>
  <si>
    <t>5.27</t>
  </si>
  <si>
    <t>Learning from information security incidents</t>
  </si>
  <si>
    <t>Use knowledge from incidents to strengthen controls.</t>
  </si>
  <si>
    <t>Lessons learned improve control integrity/effectiveness.</t>
  </si>
  <si>
    <t>Post-incident reviews, lessons learned</t>
  </si>
  <si>
    <t>5.28</t>
  </si>
  <si>
    <t>Collection of evidence</t>
  </si>
  <si>
    <t>Establish procedures for identification, collection, acquisition and preservation of evidence.</t>
  </si>
  <si>
    <t>Evidence collection preserves integrity for investigations.</t>
  </si>
  <si>
    <t>Forensic procedure, chain-of-custody forms</t>
  </si>
  <si>
    <t>5.29</t>
  </si>
  <si>
    <t>Information security during disruption</t>
  </si>
  <si>
    <t>Plan how to maintain security at an appropriate level during disruption.</t>
  </si>
  <si>
    <t>Maintaining security during disruption protects availability.</t>
  </si>
  <si>
    <t>BCP security provisions</t>
  </si>
  <si>
    <t>5.30</t>
  </si>
  <si>
    <t>ICT readiness for business continuity</t>
  </si>
  <si>
    <t>Plan, implement, maintain and test ICT readiness based on BC objectives and ICT continuity requirements.</t>
  </si>
  <si>
    <t>ICT continuity protects availability.</t>
  </si>
  <si>
    <t>BIA, DR plans, DR test results (RTO/RPO)</t>
  </si>
  <si>
    <t>5.31</t>
  </si>
  <si>
    <t>Legal, statutory, regulatory and contractual requirements</t>
  </si>
  <si>
    <t>Identify, document and keep current legal/regulatory/contractual requirements and how they are met.</t>
  </si>
  <si>
    <t>Legal register, compliance mapping</t>
  </si>
  <si>
    <t>5.32</t>
  </si>
  <si>
    <t>Implement procedures to protect intellectual property rights.</t>
  </si>
  <si>
    <t>Protects confidentiality of licensed/IP material.</t>
  </si>
  <si>
    <t>Licence inventory, IP policy</t>
  </si>
  <si>
    <t>5.33</t>
  </si>
  <si>
    <t>Protection of records</t>
  </si>
  <si>
    <t>Protect records from loss, destruction, falsification, unauthorized access and release.</t>
  </si>
  <si>
    <t>Protects records from loss, falsification or unauthorized release.</t>
  </si>
  <si>
    <t>Records retention schedule, protection controls</t>
  </si>
  <si>
    <t>5.34</t>
  </si>
  <si>
    <t>Privacy and protection of PII</t>
  </si>
  <si>
    <t>Identify and meet requirements for privacy and PII protection per law and contract.</t>
  </si>
  <si>
    <t>Protects confidentiality of personal data.</t>
  </si>
  <si>
    <t>Privacy policy, ROPA, DPIAs, DSAR process</t>
  </si>
  <si>
    <t>5.35</t>
  </si>
  <si>
    <t>Independent review of information security</t>
  </si>
  <si>
    <t>Review the organization's security approach independently at planned intervals and on significant change.</t>
  </si>
  <si>
    <t>Independent review/audit reports</t>
  </si>
  <si>
    <t>5.36</t>
  </si>
  <si>
    <t>Compliance with policies, rules and standards for information security</t>
  </si>
  <si>
    <t>Regularly review compliance with policies, topic-specific policies, rules and standards.</t>
  </si>
  <si>
    <t>Compliance checks, technical compliance reports</t>
  </si>
  <si>
    <t>5.37</t>
  </si>
  <si>
    <t>Documented operating procedures</t>
  </si>
  <si>
    <t>Document operating procedures and make available to personnel who need them.</t>
  </si>
  <si>
    <t>Documented procedures support consistent, correct (integrity) operations.</t>
  </si>
  <si>
    <t>Runbooks, SOPs</t>
  </si>
  <si>
    <t>A.6</t>
  </si>
  <si>
    <t>People controls</t>
  </si>
  <si>
    <t>Screening</t>
  </si>
  <si>
    <t>Verify candidates' background before joining and on an ongoing basis per laws and risk.</t>
  </si>
  <si>
    <t>Screening records</t>
  </si>
  <si>
    <t>Terms and conditions of employment</t>
  </si>
  <si>
    <t>Employment agreements state personnel and organizational security responsibilities.</t>
  </si>
  <si>
    <t>Signed contracts</t>
  </si>
  <si>
    <t>Information security awareness, education and training</t>
  </si>
  <si>
    <t>Provide appropriate awareness, education, training and regular policy updates.</t>
  </si>
  <si>
    <t>Training plan, completion metrics</t>
  </si>
  <si>
    <t>Disciplinary process</t>
  </si>
  <si>
    <t>Formalize and communicate a disciplinary process for security policy violations.</t>
  </si>
  <si>
    <t>Disciplinary policy</t>
  </si>
  <si>
    <t>Responsibilities after termination or change of employment</t>
  </si>
  <si>
    <t>Define, enforce and communicate security duties that remain valid after termination/change.</t>
  </si>
  <si>
    <t>Post-employment confidentiality obligations continue.</t>
  </si>
  <si>
    <t>Exit procedures, reminders of obligations</t>
  </si>
  <si>
    <t>6.6</t>
  </si>
  <si>
    <t>Confidentiality or non-disclosure agreements</t>
  </si>
  <si>
    <t>Identify, document, review and sign NDAs reflecting protection needs.</t>
  </si>
  <si>
    <t>NDAs protect confidentiality of shared information.</t>
  </si>
  <si>
    <t>Signed NDAs, template review</t>
  </si>
  <si>
    <t>6.7</t>
  </si>
  <si>
    <t>Remote working</t>
  </si>
  <si>
    <t>Implement security measures when personnel work remotely.</t>
  </si>
  <si>
    <t>Remote working introduces risk across all three properties.</t>
  </si>
  <si>
    <t>Remote working policy, VPN/MDM controls</t>
  </si>
  <si>
    <t>6.8</t>
  </si>
  <si>
    <t>Information security event reporting</t>
  </si>
  <si>
    <t>Provide a mechanism for personnel to report observed/suspected events promptly.</t>
  </si>
  <si>
    <t>Timely event reporting preserves integrity of response.</t>
  </si>
  <si>
    <t>Reporting channel, awareness of channel</t>
  </si>
  <si>
    <t>A.7</t>
  </si>
  <si>
    <t>Physical controls</t>
  </si>
  <si>
    <t>Physical security perimeters</t>
  </si>
  <si>
    <t>Define and use security perimeters to protect areas with information and assets.</t>
  </si>
  <si>
    <t>Perimeters protect against unauthorized physical access and disruption.</t>
  </si>
  <si>
    <t>Site plans, perimeter controls</t>
  </si>
  <si>
    <t>Physical entry</t>
  </si>
  <si>
    <t>Protect secure areas with entry controls and access points.</t>
  </si>
  <si>
    <t>Entry controls limit unauthorized physical access.</t>
  </si>
  <si>
    <t>Badge logs, visitor management</t>
  </si>
  <si>
    <t>Securing offices, rooms and facilities</t>
  </si>
  <si>
    <t>Design and implement physical security for offices, rooms and facilities.</t>
  </si>
  <si>
    <t>Facility security protects assets housed within.</t>
  </si>
  <si>
    <t>Facility security assessment</t>
  </si>
  <si>
    <t>Physical security monitoring</t>
  </si>
  <si>
    <t>Continuously monitor premises for unauthorized physical access.</t>
  </si>
  <si>
    <t>Monitoring detects unauthorized physical access.</t>
  </si>
  <si>
    <t>CCTV, intrusion alarms, retention config</t>
  </si>
  <si>
    <t>7.5</t>
  </si>
  <si>
    <t>Protecting against physical and environmental threats</t>
  </si>
  <si>
    <t>Design and implement protection against fire, flood, and other natural or man-made threats.</t>
  </si>
  <si>
    <t>Protects against environmental threats to availability.</t>
  </si>
  <si>
    <t>Fire suppression, environmental sensors, inspections</t>
  </si>
  <si>
    <t>7.6</t>
  </si>
  <si>
    <t>Working in secure areas</t>
  </si>
  <si>
    <t>Design and implement security measures for working in secure areas.</t>
  </si>
  <si>
    <t>Secure-area working rules protect confidentiality.</t>
  </si>
  <si>
    <t>Secure area procedures</t>
  </si>
  <si>
    <t>7.7</t>
  </si>
  <si>
    <t>Clear desk and clear screen</t>
  </si>
  <si>
    <t>Define and enforce clear desk (papers/media) and clear screen rules.</t>
  </si>
  <si>
    <t>Clear desk/screen reduces exposure of sensitive information.</t>
  </si>
  <si>
    <t>Policy, screen-lock config, spot checks</t>
  </si>
  <si>
    <t>7.8</t>
  </si>
  <si>
    <t>Equipment siting and protection</t>
  </si>
  <si>
    <t>Site and protect equipment to reduce environmental risks and unauthorized access.</t>
  </si>
  <si>
    <t>Equipment siting reduces environmental and access risk.</t>
  </si>
  <si>
    <t>Data centre/rack layout, inspections</t>
  </si>
  <si>
    <t>7.9</t>
  </si>
  <si>
    <t>Security of assets off-premises</t>
  </si>
  <si>
    <t>Protect off-site assets.</t>
  </si>
  <si>
    <t>Protects assets used outside the office.</t>
  </si>
  <si>
    <t>Off-site asset rules, encryption</t>
  </si>
  <si>
    <t>7.10</t>
  </si>
  <si>
    <t>Storage media</t>
  </si>
  <si>
    <t>Manage storage media through acquisition, use, transport and disposal per classification.</t>
  </si>
  <si>
    <t>Media handling protects data confidentiality and integrity.</t>
  </si>
  <si>
    <t>Media handling procedure, encryption, logs</t>
  </si>
  <si>
    <t>7.11</t>
  </si>
  <si>
    <t>Supporting utilities</t>
  </si>
  <si>
    <t>Protect facilities from power failures and other utility disruptions.</t>
  </si>
  <si>
    <t>Utilities support availability of processing facilities.</t>
  </si>
  <si>
    <t>UPS/generator tests, redundancy</t>
  </si>
  <si>
    <t>7.12</t>
  </si>
  <si>
    <t>Cabling security</t>
  </si>
  <si>
    <t>Protect power/data/service cabling from interception, interference or damage.</t>
  </si>
  <si>
    <t>Cabling protection prevents interception/damage.</t>
  </si>
  <si>
    <t>Cabling inspection, structured cabling records</t>
  </si>
  <si>
    <t>7.13</t>
  </si>
  <si>
    <t>Equipment maintenance</t>
  </si>
  <si>
    <t>Maintain equipment correctly to ensure availability, integrity and confidentiality.</t>
  </si>
  <si>
    <t>Maintenance sustains availability and reliability.</t>
  </si>
  <si>
    <t>Maintenance logs, vendor contracts</t>
  </si>
  <si>
    <t>7.14</t>
  </si>
  <si>
    <t>Secure disposal or re-use of equipment</t>
  </si>
  <si>
    <t>Verify data and licensed software are removed/overwritten before disposal or re-use.</t>
  </si>
  <si>
    <t>Secure disposal prevents data leakage from decommissioned equipment.</t>
  </si>
  <si>
    <t>Sanitization certificates, disposal logs</t>
  </si>
  <si>
    <t>A.8</t>
  </si>
  <si>
    <t>Technological controls</t>
  </si>
  <si>
    <t>User endpoint devices</t>
  </si>
  <si>
    <t>Protect information stored on, processed by or accessible via user endpoints.</t>
  </si>
  <si>
    <t>Endpoint protection spans all three properties.</t>
  </si>
  <si>
    <t>EDR, MDM, disk encryption, hardening baseline</t>
  </si>
  <si>
    <t>Privileged access rights</t>
  </si>
  <si>
    <t>Restrict and manage allocation and use of privileged access rights.</t>
  </si>
  <si>
    <t>Privileged access is a high-impact CIA control.</t>
  </si>
  <si>
    <t>PAM (e.g. CyberArk) records, privileged access reviews</t>
  </si>
  <si>
    <t>Information access restriction</t>
  </si>
  <si>
    <t>Restrict access to information and assets per access control policy.</t>
  </si>
  <si>
    <t>Restricting access protects confidentiality.</t>
  </si>
  <si>
    <t>Access configurations, need-to-know reviews</t>
  </si>
  <si>
    <t>Access to source code</t>
  </si>
  <si>
    <t>Appropriately manage read/write access to source code, dev tools and libraries.</t>
  </si>
  <si>
    <t>Source code access control protects confidentiality and integrity of code.</t>
  </si>
  <si>
    <t>Repo permissions, branch protection</t>
  </si>
  <si>
    <t>8.5</t>
  </si>
  <si>
    <t>Secure authentication</t>
  </si>
  <si>
    <t>Implement secure authentication technologies and procedures based on access restrictions.</t>
  </si>
  <si>
    <t>Authentication underpins secure access.</t>
  </si>
  <si>
    <t>MFA coverage, lockout/session settings</t>
  </si>
  <si>
    <t>8.6</t>
  </si>
  <si>
    <t>Capacity management</t>
  </si>
  <si>
    <t>Monitor and adjust resource use against capacity requirements.</t>
  </si>
  <si>
    <t>Capacity management supports availability.</t>
  </si>
  <si>
    <t>Capacity reports, thresholds</t>
  </si>
  <si>
    <t>8.7</t>
  </si>
  <si>
    <t>Protection against malware</t>
  </si>
  <si>
    <t>Implement malware protection supported by user awareness.</t>
  </si>
  <si>
    <t>Malware protection preserves integrity and availability.</t>
  </si>
  <si>
    <t>AV/EDR coverage, update status</t>
  </si>
  <si>
    <t>8.8</t>
  </si>
  <si>
    <t>Management of technical vulnerabilities</t>
  </si>
  <si>
    <t>Obtain vulnerability info, assess exposure and take appropriate measures.</t>
  </si>
  <si>
    <t>Vulnerability management reduces exposure across all properties.</t>
  </si>
  <si>
    <t>Scan reports, patch SLAs, exceptions</t>
  </si>
  <si>
    <t>8.9</t>
  </si>
  <si>
    <t>Configuration management</t>
  </si>
  <si>
    <t>Establish, document, implement, monitor and review configurations incl. security configurations.</t>
  </si>
  <si>
    <t>Configuration management maintains secure, consistent state.</t>
  </si>
  <si>
    <t>Hardening baselines (CIS), config drift reports</t>
  </si>
  <si>
    <t>8.10</t>
  </si>
  <si>
    <t>Information deletion</t>
  </si>
  <si>
    <t>Delete information in systems, devices or media when no longer required.</t>
  </si>
  <si>
    <t>Deletion prevents unauthorized retention/exposure of data.</t>
  </si>
  <si>
    <t>Retention/deletion procedure, deletion evidence</t>
  </si>
  <si>
    <t>8.11</t>
  </si>
  <si>
    <t>Data masking</t>
  </si>
  <si>
    <t>Use data masking per access control and business requirements, incl. legal requirements.</t>
  </si>
  <si>
    <t>Masking protects confidentiality of sensitive data.</t>
  </si>
  <si>
    <t>Masking rules, non-prod data handling</t>
  </si>
  <si>
    <t>8.12</t>
  </si>
  <si>
    <t>Data leakage prevention</t>
  </si>
  <si>
    <t>Apply DLP measures to systems, networks and devices handling sensitive information.</t>
  </si>
  <si>
    <t>DLP directly protects confidentiality.</t>
  </si>
  <si>
    <t>DLP policies, incident reports</t>
  </si>
  <si>
    <t>8.13</t>
  </si>
  <si>
    <t>Information backup</t>
  </si>
  <si>
    <t>Maintain and regularly test backup copies per agreed policy.</t>
  </si>
  <si>
    <t>Backups protect availability and integrity of data.</t>
  </si>
  <si>
    <t>Backup jobs, restore test results, immutability</t>
  </si>
  <si>
    <t>8.14</t>
  </si>
  <si>
    <t>Redundancy of information processing facilities</t>
  </si>
  <si>
    <t>Implement sufficient redundancy to meet availability requirements.</t>
  </si>
  <si>
    <t>Redundancy protects availability.</t>
  </si>
  <si>
    <t>HA/failover design and test evidence</t>
  </si>
  <si>
    <t>8.15</t>
  </si>
  <si>
    <t>Logging</t>
  </si>
  <si>
    <t>Produce, store, protect and analyse logs of activities, exceptions, faults and events.</t>
  </si>
  <si>
    <t>Logs support integrity of the record and availability for investigation.</t>
  </si>
  <si>
    <t>Log sources inventory, log integrity and retention</t>
  </si>
  <si>
    <t>8.16</t>
  </si>
  <si>
    <t>Monitoring activities</t>
  </si>
  <si>
    <t>Monitor networks, systems and applications for anomalous behaviour and evaluate potential incidents.</t>
  </si>
  <si>
    <t>Monitoring detects threats across all properties.</t>
  </si>
  <si>
    <t>SIEM/SOC use cases, alerts, tuning records</t>
  </si>
  <si>
    <t>8.17</t>
  </si>
  <si>
    <t>Clock synchronization</t>
  </si>
  <si>
    <t>Synchronize clocks of information processing systems to approved time sources.</t>
  </si>
  <si>
    <t>Accurate timestamps support integrity of logs/evidence.</t>
  </si>
  <si>
    <t>NTP configuration</t>
  </si>
  <si>
    <t>8.18</t>
  </si>
  <si>
    <t>Use of privileged utility programs</t>
  </si>
  <si>
    <t>Restrict and tightly control utility programs able to override system controls.</t>
  </si>
  <si>
    <t>Privileged utilities can bypass controls if misused.</t>
  </si>
  <si>
    <t>Approved utilities list, usage logging</t>
  </si>
  <si>
    <t>8.19</t>
  </si>
  <si>
    <t>Installation of software on operational systems</t>
  </si>
  <si>
    <t>Implement procedures to securely manage software installation on operational systems.</t>
  </si>
  <si>
    <t>Controlled installation maintains system integrity.</t>
  </si>
  <si>
    <t>Software whitelisting, install approvals</t>
  </si>
  <si>
    <t>8.20</t>
  </si>
  <si>
    <t>Networks security</t>
  </si>
  <si>
    <t>Secure, manage and control networks and network devices.</t>
  </si>
  <si>
    <t>Network security is foundational to all three properties.</t>
  </si>
  <si>
    <t>Network diagrams, firewall rule reviews</t>
  </si>
  <si>
    <t>8.21</t>
  </si>
  <si>
    <t>Security of network services</t>
  </si>
  <si>
    <t>Identify, implement and monitor security mechanisms, service levels and requirements of network services.</t>
  </si>
  <si>
    <t>Network service security extends this to third-party services.</t>
  </si>
  <si>
    <t>Network service SLAs, security terms</t>
  </si>
  <si>
    <t>8.22</t>
  </si>
  <si>
    <t>Segregation of networks</t>
  </si>
  <si>
    <t>Segregate groups of services, users and systems in networks.</t>
  </si>
  <si>
    <t>Segmentation limits exposure/lateral movement.</t>
  </si>
  <si>
    <t>VLAN/zone design, segmentation tests</t>
  </si>
  <si>
    <t>8.23</t>
  </si>
  <si>
    <t>Web filtering</t>
  </si>
  <si>
    <t>Manage access to external websites to reduce exposure to malicious content.</t>
  </si>
  <si>
    <t>Web filtering reduces exposure to malicious content/data loss.</t>
  </si>
  <si>
    <t>Web filter/proxy policy and reports</t>
  </si>
  <si>
    <t>8.24</t>
  </si>
  <si>
    <t>Use of cryptography</t>
  </si>
  <si>
    <t>Define and implement rules for effective use of cryptography incl. key management.</t>
  </si>
  <si>
    <t>Cryptography protects confidentiality and integrity.</t>
  </si>
  <si>
    <t>Crypto policy, key lifecycle, approved algorithms</t>
  </si>
  <si>
    <t>8.25</t>
  </si>
  <si>
    <t>Secure development life cycle</t>
  </si>
  <si>
    <t>Establish and apply rules for secure development of software and systems.</t>
  </si>
  <si>
    <t>Secure SDLC embeds security across the lifecycle.</t>
  </si>
  <si>
    <t>SDLC policy, security gates</t>
  </si>
  <si>
    <t>8.26</t>
  </si>
  <si>
    <t>Application security requirements</t>
  </si>
  <si>
    <t>Identify, specify and approve security requirements for applications.</t>
  </si>
  <si>
    <t>Security requirements shape what the application must protect.</t>
  </si>
  <si>
    <t>Security requirements, threat models</t>
  </si>
  <si>
    <t>8.27</t>
  </si>
  <si>
    <t>Secure system architecture and engineering principles</t>
  </si>
  <si>
    <t>Establish, document, maintain and apply secure engineering principles.</t>
  </si>
  <si>
    <t>Secure architecture underpins all three properties.</t>
  </si>
  <si>
    <t>Architecture standards, review records</t>
  </si>
  <si>
    <t>8.28</t>
  </si>
  <si>
    <t>Secure coding</t>
  </si>
  <si>
    <t>Apply secure coding principles to software development.</t>
  </si>
  <si>
    <t>Secure coding reduces integrity-impacting vulnerabilities.</t>
  </si>
  <si>
    <t>Coding standards, SAST/code review evidence</t>
  </si>
  <si>
    <t>8.29</t>
  </si>
  <si>
    <t>Security testing in development and acceptance</t>
  </si>
  <si>
    <t>Define and implement security testing in the development life cycle.</t>
  </si>
  <si>
    <t>Security testing validates protection across all properties.</t>
  </si>
  <si>
    <t>SAST/DAST/pentest reports, acceptance criteria</t>
  </si>
  <si>
    <t>8.30</t>
  </si>
  <si>
    <t>Outsourced development</t>
  </si>
  <si>
    <t>Direct, monitor and review outsourced system development activities.</t>
  </si>
  <si>
    <t>Outsourced development carries the same CIA risks as in-house.</t>
  </si>
  <si>
    <t>Contract terms, code/security reviews</t>
  </si>
  <si>
    <t>8.31</t>
  </si>
  <si>
    <t>Separation of development, test and production environments</t>
  </si>
  <si>
    <t>Separate and secure development, testing and production environments.</t>
  </si>
  <si>
    <t>Environment separation prevents unintended changes to production integrity.</t>
  </si>
  <si>
    <t>Environment segregation, access matrix</t>
  </si>
  <si>
    <t>8.32</t>
  </si>
  <si>
    <t>Change management</t>
  </si>
  <si>
    <t>Subject changes to information processing facilities and systems to change management procedures.</t>
  </si>
  <si>
    <t>Change management protects integrity of systems during change.</t>
  </si>
  <si>
    <t>Change tickets, CAB records, rollback plans</t>
  </si>
  <si>
    <t>8.33</t>
  </si>
  <si>
    <t>Test information</t>
  </si>
  <si>
    <t>Appropriately select, protect and manage test information.</t>
  </si>
  <si>
    <t>Test data protection avoids exposing live sensitive data.</t>
  </si>
  <si>
    <t>Test data policy, sanitization</t>
  </si>
  <si>
    <t>8.34</t>
  </si>
  <si>
    <t>Protection of information systems during audit testing</t>
  </si>
  <si>
    <t>Plan and agree audit tests and assurance activities to minimize disruption.</t>
  </si>
  <si>
    <t>Audit activity must not compromise confidentiality or availability.</t>
  </si>
  <si>
    <t>Audit test plans, approvals</t>
  </si>
  <si>
    <t>ISO/IEC 17021-1:2015 - Certification-Body Requirements &amp; Audit-Readiness Alignment (with CIA Marking)</t>
  </si>
  <si>
    <t>Certification body (CB) requirement</t>
  </si>
  <si>
    <t>Audit-readiness alignment for the certified organization</t>
  </si>
  <si>
    <t>ISMS / AIMS cross-reference</t>
  </si>
  <si>
    <t>Principles (basis for confidence in certification)</t>
  </si>
  <si>
    <t>General</t>
  </si>
  <si>
    <t>Certification must inspire confidence: principles of impartiality, competence, responsibility, openness, confidentiality, responsiveness to complaints and risk-based approach underpin all certification activity.</t>
  </si>
  <si>
    <t>Expect the audit to be conducted objectively and evidence-based; be ready to demonstrate rather than assert conformity.</t>
  </si>
  <si>
    <t>ISO 27001 / 42001 clause 9.2</t>
  </si>
  <si>
    <t>None - process/governance requirement without a direct CIA-protection function.</t>
  </si>
  <si>
    <t>Audit-readiness pack, evidence index</t>
  </si>
  <si>
    <t>Impartiality</t>
  </si>
  <si>
    <t>The CB must be impartial and be seen to be; decisions are based on objective evidence, free from conflicts of interest.</t>
  </si>
  <si>
    <t>Do not offer inducements or influence auditors; separate any consultancy from the certification audit; declare prior consulting relationships.</t>
  </si>
  <si>
    <t>ISO 27001 / 42001 5.1, 9.2 (independent internal audit)</t>
  </si>
  <si>
    <t>Conflict-of-interest declarations, consultant/auditor separation record</t>
  </si>
  <si>
    <t>Certification personnel must have the knowledge and skills to perform certification activities for the relevant scope/sector.</t>
  </si>
  <si>
    <t>Confirm the CB's audit team is competent for your sector, technology (e.g. AI, cloud, telecom) and risk profile before the audit.</t>
  </si>
  <si>
    <t>ISO 27001 7.2 / ISO 42001 7.2</t>
  </si>
  <si>
    <t>CB team competence evidence, sector/technical-expert confirmation</t>
  </si>
  <si>
    <t>Responsibility</t>
  </si>
  <si>
    <t>The client organization, not the CB, is responsible for conformity with certification requirements.</t>
  </si>
  <si>
    <t>Own and maintain the management system continuously; certification is not a substitute for ongoing conformity.</t>
  </si>
  <si>
    <t>ISO 27001 / 42001 5.1, 5.3</t>
  </si>
  <si>
    <t>Top-management commitment records, ISMS/AIMS ownership</t>
  </si>
  <si>
    <t>4.5</t>
  </si>
  <si>
    <t>Openness</t>
  </si>
  <si>
    <t>The CB provides appropriate public access to information about its audit process and certification status.</t>
  </si>
  <si>
    <t>Be aware certification status and scope can be publicly verified; ensure scope wording is accurate.</t>
  </si>
  <si>
    <t>ISO 27001 / 42001 4.3 (scope)</t>
  </si>
  <si>
    <t>4.6</t>
  </si>
  <si>
    <t>Confidentiality</t>
  </si>
  <si>
    <t>The CB must protect confidential client information obtained during certification activities.</t>
  </si>
  <si>
    <t>Confirm confidentiality terms in the certification agreement; control what evidence (logs, architecture, risk registers, model/data details) is shared with auditors and how.</t>
  </si>
  <si>
    <t>ISO 27001 A.5.14, A.5.34, A.6.6; ISO 42001 A.10.2</t>
  </si>
  <si>
    <t>Auditors access sensitive security and AI system information; confidentiality obligations and controlled evidence sharing protect it.</t>
  </si>
  <si>
    <t>Certification agreement confidentiality clause, evidence-sharing controls</t>
  </si>
  <si>
    <t>4.7</t>
  </si>
  <si>
    <t>Responsiveness to complaints</t>
  </si>
  <si>
    <t>The CB responds effectively to complaints and appeals, with fair handling.</t>
  </si>
  <si>
    <t>Know the CB's complaints/appeals route in case of audit disagreement or contested findings.</t>
  </si>
  <si>
    <t>ISO 27001 / 42001 10.2</t>
  </si>
  <si>
    <t>CB complaints/appeals procedure reference</t>
  </si>
  <si>
    <t>4.8</t>
  </si>
  <si>
    <t>Risk-based approach</t>
  </si>
  <si>
    <t>The CB considers risks to impartiality, competence and consistency when planning and decision-making.</t>
  </si>
  <si>
    <t>Expect audit time and focus to reflect your risk profile; keep risk assessments current and evidence-ready.</t>
  </si>
  <si>
    <t>ISO 27001 / 42001 6.1.2, 8.2</t>
  </si>
  <si>
    <t>Current risk assessments, treatment plans</t>
  </si>
  <si>
    <t>General requirements</t>
  </si>
  <si>
    <t>Legal and contractual matters</t>
  </si>
  <si>
    <t>The CB is a legal entity and has a legally enforceable certification agreement with each client, defining rights/obligations and responsibility for decisions.</t>
  </si>
  <si>
    <t>Review and sign the certification agreement; understand obligations (access, notification of changes, mark usage, surveillance cycle).</t>
  </si>
  <si>
    <t>ISO 27001 / 42001 4.2 (legal/contractual requirements)</t>
  </si>
  <si>
    <t>Signed certification agreement</t>
  </si>
  <si>
    <t>Management of impartiality</t>
  </si>
  <si>
    <t>The CB identifies, analyses and documents risks to impartiality and has top management commitment to it.</t>
  </si>
  <si>
    <t>Ensure no undisclosed consultancy or related-party relationship with the CB or audit team.</t>
  </si>
  <si>
    <t>ISO 27001 / 42001 5.1</t>
  </si>
  <si>
    <t>Independence declaration</t>
  </si>
  <si>
    <t>Liability and financing</t>
  </si>
  <si>
    <t>The CB has arrangements (insurance/reserves) to cover liabilities from operations.</t>
  </si>
  <si>
    <t>Not a client obligation; confirm CB is accredited and in good standing before engaging.</t>
  </si>
  <si>
    <t>-</t>
  </si>
  <si>
    <t>CB accreditation certificate/scope verified</t>
  </si>
  <si>
    <t>Structural requirements</t>
  </si>
  <si>
    <t>Organizational structure and top management</t>
  </si>
  <si>
    <t>The CB documents its organizational structure, duties and authorities; a body/committee safeguards impartiality.</t>
  </si>
  <si>
    <t>Verify CB accreditation scope covers your standard (e.g. ISO/IEC 27001, ISO/IEC 42001) and sector.</t>
  </si>
  <si>
    <t>Accreditation scope check</t>
  </si>
  <si>
    <t>The CB has a process for effective control of certification activities carried out by branch offices, partnerships, agents or franchisees.</t>
  </si>
  <si>
    <t>Confirm the audit is carried out under the CB's controlled process even where delivered locally.</t>
  </si>
  <si>
    <t>CB delivery-office/contracting confirmation</t>
  </si>
  <si>
    <t>Clause 7</t>
  </si>
  <si>
    <t>Resource requirements</t>
  </si>
  <si>
    <t>Competence of personnel</t>
  </si>
  <si>
    <t>The CB defines competence criteria and processes for selecting/monitoring personnel for each management system type and technical area.</t>
  </si>
  <si>
    <t>Ask for auditor competence for information security, AI management, cloud and telecom-specific technology as applicable.</t>
  </si>
  <si>
    <t>ISO 27001 / 42001 7.2</t>
  </si>
  <si>
    <t>Auditor competence records requested/reviewed</t>
  </si>
  <si>
    <t>Personnel involved in certification activities</t>
  </si>
  <si>
    <t>The CB has sufficient competent personnel (auditors, reviewers, decision-makers); contracts and training are in place.</t>
  </si>
  <si>
    <t>Be ready to accommodate the assigned audit team; raise any competence concerns before the audit.</t>
  </si>
  <si>
    <t>Audit team details</t>
  </si>
  <si>
    <t>Use of individual external auditors and technical experts</t>
  </si>
  <si>
    <t>External auditors/experts operate under the CB's contract, impartiality and confidentiality requirements.</t>
  </si>
  <si>
    <t>Confirm external technical experts are bound by confidentiality and conflict-of-interest rules.</t>
  </si>
  <si>
    <t>ISO 27001 A.5.19-A.5.20 (supplier/third-party access)</t>
  </si>
  <si>
    <t>External expert confidentiality confirmation</t>
  </si>
  <si>
    <t>Personnel records</t>
  </si>
  <si>
    <t>The CB maintains up-to-date records of qualifications, training, experience and performance of personnel.</t>
  </si>
  <si>
    <t>Not a client obligation; you may request evidence of auditor qualifications.</t>
  </si>
  <si>
    <t>CB personnel records contain personal data needing confidentiality and integrity.</t>
  </si>
  <si>
    <t>Auditor qualification evidence (on request)</t>
  </si>
  <si>
    <t>Outsourcing</t>
  </si>
  <si>
    <t>The CB retains responsibility when outsourcing audit activities and has a legally binding agreement covering confidentiality and impartiality.</t>
  </si>
  <si>
    <t>Confirm whether any audit activity is outsourced and that outsourcing agreements protect your information.</t>
  </si>
  <si>
    <t>ISO 27001 A.5.19-A.5.22; ISO 42001 A.10.2-A.10.3</t>
  </si>
  <si>
    <t>Outsourced audit parties gain access to client information; agreements must protect confidentiality.</t>
  </si>
  <si>
    <t>Outsourcing declaration, confidentiality agreement</t>
  </si>
  <si>
    <t>Clause 8</t>
  </si>
  <si>
    <t>Information requirements</t>
  </si>
  <si>
    <t>Public information</t>
  </si>
  <si>
    <t>The CB publicly provides information on its audit processes, certification process, and granting/suspending/withdrawing certification.</t>
  </si>
  <si>
    <t>Read the CB's published process so audit steps and timelines are expected.</t>
  </si>
  <si>
    <t>CB process documentation reviewed</t>
  </si>
  <si>
    <t>Certification documents</t>
  </si>
  <si>
    <t>The CB gives certification documents identifying the client, standard, scope, and validity.</t>
  </si>
  <si>
    <t>Verify certificate scope, standard version and validity dates are accurate; report inaccuracies promptly.</t>
  </si>
  <si>
    <t>ISO 27001 / 42001 4.3</t>
  </si>
  <si>
    <t>Certificates are trust artefacts; accuracy and protection from tampering/forgery preserve their integrity.</t>
  </si>
  <si>
    <t>Issued certificate verified against scope and SoA</t>
  </si>
  <si>
    <t>Reference to certification and use of marks</t>
  </si>
  <si>
    <t>The CB controls use of certification marks; clients must not misuse certification or mislead about scope.</t>
  </si>
  <si>
    <t>Use marks and certification claims only within the certified scope and per CB rules.</t>
  </si>
  <si>
    <t>Misrepresentation of certification undermines the integrity of the certification claim.</t>
  </si>
  <si>
    <t>Marks-usage rules and approved communications</t>
  </si>
  <si>
    <t>The CB keeps information about clients confidential, has a legally enforceable commitment, and informs the client before disclosing to third parties unless required by law.</t>
  </si>
  <si>
    <t>Agree what information can be disclosed to regulators/accreditation bodies; require notification of any legally required disclosure.</t>
  </si>
  <si>
    <t>ISO 27001 A.5.34, A.6.6; ISO 42001 A.10.2</t>
  </si>
  <si>
    <t>Direct confidentiality obligation over client security and AI system information.</t>
  </si>
  <si>
    <t>Confidentiality terms, disclosure-notification clause</t>
  </si>
  <si>
    <t>Information exchange between a CB and its clients</t>
  </si>
  <si>
    <t>The CB informs clients of certification requirements, changes and audit findings; clients inform the CB of significant changes (scope, ownership, incidents, legal proceedings).</t>
  </si>
  <si>
    <t>Establish a channel to notify the CB of significant changes (e.g. major security incidents, scope/organizational changes, new AI systems) and receive CB updates.</t>
  </si>
  <si>
    <t>ISO 27001 A.5.5, A.5.24-A.5.26; ISO 42001 A.8.4, 4.3</t>
  </si>
  <si>
    <t>Exchanged findings, incident and scope information is sensitive and must remain accurate and confidential.</t>
  </si>
  <si>
    <t>Change-notification procedure, CB correspondence log</t>
  </si>
  <si>
    <t>Clause 9</t>
  </si>
  <si>
    <t>Process requirements</t>
  </si>
  <si>
    <t>Pre-certification activities</t>
  </si>
  <si>
    <t>Application review, audit programme, audit time determination, multi-site sampling, and combined audits are defined before certification.</t>
  </si>
  <si>
    <t>Provide accurate scope, sites, headcount, systems and (for AI) AI systems in scope; agree audit programme and time.</t>
  </si>
  <si>
    <t>ISO 27001 / 42001 4.3 (scope), 6.1.3 (SoA)</t>
  </si>
  <si>
    <t>Application, scope statement, SoA</t>
  </si>
  <si>
    <t>9.2</t>
  </si>
  <si>
    <t>Planning audits</t>
  </si>
  <si>
    <t>The CB determines audit objectives, scope and criteria, selects the audit team, and prepares an audit plan; plan is communicated to the client.</t>
  </si>
  <si>
    <t>Review the audit plan; ensure interviewees, evidence and system access are arranged.</t>
  </si>
  <si>
    <t>ISO 27001 / 42001 9.2</t>
  </si>
  <si>
    <t>Audit plan acknowledged, interviewee schedule</t>
  </si>
  <si>
    <t>9.3</t>
  </si>
  <si>
    <t>Initial certification audit (Stage 1 and Stage 2)</t>
  </si>
  <si>
    <t>Stage 1 reviews documented information and readiness; Stage 2 assesses implementation and effectiveness of the management system.</t>
  </si>
  <si>
    <t>Have documented information, risk assessment, SoA, internal audit and management review completed before Stage 1; controls operating with evidence before Stage 2.</t>
  </si>
  <si>
    <t>ISO 27001 / 42001 clauses 4-10 (tabs 1, 2, 7 in this workbook)</t>
  </si>
  <si>
    <t>Stage 1 documentation pack, Stage 2 operating evidence</t>
  </si>
  <si>
    <t>9.4</t>
  </si>
  <si>
    <t>Conducting audits</t>
  </si>
  <si>
    <t>Opening/closing meetings, evidence gathering and verification, recording findings (nonconformities and opportunities for improvement), audit report, cause analysis of nonconformities and verification of corrections/corrective actions.</t>
  </si>
  <si>
    <t>Provide access and evidence; agree findings; submit cause analysis and corrective action plans within CB timelines.</t>
  </si>
  <si>
    <t>ISO 27001 / 42001 10.2 (nonconformity and corrective action)</t>
  </si>
  <si>
    <t>Audit evidence, corrective action plans, root-cause analyses</t>
  </si>
  <si>
    <t>9.5</t>
  </si>
  <si>
    <t>Certification decision</t>
  </si>
  <si>
    <t>Decision is made by persons not involved in the audit, based on audit report and other information; certification granted, refused or deferred.</t>
  </si>
  <si>
    <t>Do not expect a decision at the closing meeting; ensure all major nonconformities are closed within required time.</t>
  </si>
  <si>
    <t>The decision must rest on accurate, untampered audit information and impartial review.</t>
  </si>
  <si>
    <t>Nonconformity closure evidence</t>
  </si>
  <si>
    <t>9.6</t>
  </si>
  <si>
    <t>Maintaining certification</t>
  </si>
  <si>
    <t>Surveillance audits, recertification audits, special audits and suspension/withdrawal processes maintain certification over the cycle.</t>
  </si>
  <si>
    <t>Keep the ISMS/AIMS operating between audits: internal audits, management reviews, incident handling and change control must continue; prepare for surveillance.</t>
  </si>
  <si>
    <t>ISO 27001 / 42001 9.1, 9.2, 9.3, 10.1</t>
  </si>
  <si>
    <t>Surveillance-cycle plan, internal audit and management review records</t>
  </si>
  <si>
    <t>9.7</t>
  </si>
  <si>
    <t>Appeals</t>
  </si>
  <si>
    <t>The CB has a documented process to receive, evaluate and decide appeals; appeal decisions do not lead to discrimination.</t>
  </si>
  <si>
    <t>Know the appeals process if you disagree with a certification decision.</t>
  </si>
  <si>
    <t>Appeals procedure reference</t>
  </si>
  <si>
    <t>9.8</t>
  </si>
  <si>
    <t>Complaints</t>
  </si>
  <si>
    <t>The CB handles complaints about its own activities and about certified clients, with confidentiality.</t>
  </si>
  <si>
    <t>Be prepared to respond if a complaint concerns your certified system; maintain your own complaints/incident handling.</t>
  </si>
  <si>
    <t>ISO 27001 A.6.8, A.5.24-A.5.26; ISO 42001 A.3.3, A.8.3</t>
  </si>
  <si>
    <t>Complaints/concerns handling procedure and log</t>
  </si>
  <si>
    <t>9.9</t>
  </si>
  <si>
    <t>Client records</t>
  </si>
  <si>
    <t>The CB maintains records of audit and certification for all clients, kept confidential and retained per policy.</t>
  </si>
  <si>
    <t>Retain your own copies of audit reports, findings and closure evidence; treat them as confidential.</t>
  </si>
  <si>
    <t>ISO 27001 A.5.33, 7.5.3; ISO 42001 7.5.3</t>
  </si>
  <si>
    <t>Audit and certification records hold sensitive findings; they must be protected (C), accurate (I) and available for the certification cycle (A).</t>
  </si>
  <si>
    <t>Records retention and access-control rules for audit records</t>
  </si>
  <si>
    <t>Clause 10</t>
  </si>
  <si>
    <t>Management system requirements for certification bodies</t>
  </si>
  <si>
    <t>Options</t>
  </si>
  <si>
    <t>The CB implements a management system per Option A (own requirements) or Option B (ISO 9001).</t>
  </si>
  <si>
    <t>Informational: the CB's own management system is audited by its accreditation body.</t>
  </si>
  <si>
    <t>10.2.1</t>
  </si>
  <si>
    <t>Option A - General</t>
  </si>
  <si>
    <t>The CB establishes, documents, implements and maintains a management system capable of consistent achievement of its requirements.</t>
  </si>
  <si>
    <t>Informational for clients.</t>
  </si>
  <si>
    <t>10.2.2</t>
  </si>
  <si>
    <t>Option A - Management system manual</t>
  </si>
  <si>
    <t>Documents the management system policies and procedures.</t>
  </si>
  <si>
    <t>10.2.3</t>
  </si>
  <si>
    <t>Option A - Control of documents</t>
  </si>
  <si>
    <t>Controls documents so current versions are available and obsolete ones are prevented from use.</t>
  </si>
  <si>
    <t>Mirrors your own documented-information control; apply the same discipline to your ISMS/AIMS documents.</t>
  </si>
  <si>
    <t>ISO 27001 / 42001 7.5.3</t>
  </si>
  <si>
    <t>Document control preserves integrity of policies and procedures.</t>
  </si>
  <si>
    <t>Document control procedure and register</t>
  </si>
  <si>
    <t>10.2.4</t>
  </si>
  <si>
    <t>Option A - Control of records</t>
  </si>
  <si>
    <t>Maintains records demonstrating conformity, protected, retrievable and retained.</t>
  </si>
  <si>
    <t>Mirrors your own records control; audit evidence must be retrievable and reliable.</t>
  </si>
  <si>
    <t>ISO 27001 A.5.33; ISO 27001 / 42001 7.5.3</t>
  </si>
  <si>
    <t>Records must stay unaltered (I) and retrievable for audit (A).</t>
  </si>
  <si>
    <t>Records retention schedule, backups of evidence</t>
  </si>
  <si>
    <t>10.2.5</t>
  </si>
  <si>
    <t>Option A - Management review</t>
  </si>
  <si>
    <t>Top management reviews the CB's management system at planned intervals.</t>
  </si>
  <si>
    <t>Mirrors your own management review requirement.</t>
  </si>
  <si>
    <t>ISO 27001 / 42001 9.3</t>
  </si>
  <si>
    <t>Management review minutes</t>
  </si>
  <si>
    <t>10.2.6</t>
  </si>
  <si>
    <t>Option A - Internal audits</t>
  </si>
  <si>
    <t>The CB conducts internal audits at planned intervals.</t>
  </si>
  <si>
    <t>Mirrors your own internal audit requirement; CBs expect one completed before the initial audit.</t>
  </si>
  <si>
    <t>Internal audit reports</t>
  </si>
  <si>
    <t>10.2.7</t>
  </si>
  <si>
    <t>Option A - Corrective actions</t>
  </si>
  <si>
    <t>The CB identifies and manages nonconformities and takes corrective action.</t>
  </si>
  <si>
    <t>Mirrors your nonconformity/corrective action process.</t>
  </si>
  <si>
    <t>Corrective action log</t>
  </si>
  <si>
    <t>10.2.8</t>
  </si>
  <si>
    <t>Option A - Preventive actions</t>
  </si>
  <si>
    <t>The CB takes actions to eliminate causes of potential nonconformities (risk-based).</t>
  </si>
  <si>
    <t>Mirrors risk-based preventive thinking in your risk treatment.</t>
  </si>
  <si>
    <t>ISO 27001 / 42001 6.1, 10.1</t>
  </si>
  <si>
    <t>Preventive action/improvement records</t>
  </si>
  <si>
    <t>10.3</t>
  </si>
  <si>
    <t>Option B - Management system per ISO 9001</t>
  </si>
  <si>
    <t>The CB may instead implement a quality management system per ISO 9001.</t>
  </si>
  <si>
    <t>GDPR (Regulation (EU) 2016/679) - Article Checklist, with CIA-Security Marking</t>
  </si>
  <si>
    <t>Article</t>
  </si>
  <si>
    <t>Art.2-3</t>
  </si>
  <si>
    <t>Material and territorial scope</t>
  </si>
  <si>
    <t>Determine applicability: processing of personal data wholly/partly by automated means, and territorial scope incl. non-EU controllers/processors offering goods/services to or monitoring EU data subjects.</t>
  </si>
  <si>
    <t>None - rights-based, procedural or governance obligation without a direct CIA-protection function.</t>
  </si>
  <si>
    <t>Apply GDPR definitions consistently (personal data, processing, controller, processor, consent, special categories, pseudonymisation, etc.).</t>
  </si>
  <si>
    <t>Principles</t>
  </si>
  <si>
    <t>Art.5(1)</t>
  </si>
  <si>
    <t>Principles relating to processing</t>
  </si>
  <si>
    <t>Process personal data lawfully, fairly, transparently; for specified/legitimate purposes; data minimisation; accuracy; storage limitation; integrity and confidentiality; and demonstrate compliance (accountability).</t>
  </si>
  <si>
    <t>'Integrity and confidentiality' is an explicit principle: personal data must be processed with appropriate security against unauthorised/unlawful processing, accidental loss, destruction or damage.</t>
  </si>
  <si>
    <t>Data protection policy covering all principles</t>
  </si>
  <si>
    <t>Art.5(2)</t>
  </si>
  <si>
    <t>The controller is responsible for, and must be able to demonstrate, compliance with the principles.</t>
  </si>
  <si>
    <t>Records of processing, policies, evidence of compliance mechanisms</t>
  </si>
  <si>
    <t>Lawfulness of processing</t>
  </si>
  <si>
    <t>Identify and document a valid legal basis for each processing activity (consent, contract, legal obligation, vital interests, public task, legitimate interests).</t>
  </si>
  <si>
    <t>Legal basis register</t>
  </si>
  <si>
    <t>Conditions for consent</t>
  </si>
  <si>
    <t>Where relying on consent, ensure it is freely given, specific, informed, unambiguous, demonstrable, and as easy to withdraw as to give.</t>
  </si>
  <si>
    <t>Consent capture/withdrawal mechanism, consent records</t>
  </si>
  <si>
    <t>Conditions for children's consent</t>
  </si>
  <si>
    <t>Apply age-of-consent rules for information society services offered directly to children, incl. parental consent verification where required.</t>
  </si>
  <si>
    <t>Age-verification/parental-consent process</t>
  </si>
  <si>
    <t>Special categories of personal data</t>
  </si>
  <si>
    <t>Do not process special-category data (health, biometric, genetic, racial/ethnic origin, etc.) unless an Article 9(2) condition applies; apply enhanced safeguards.</t>
  </si>
  <si>
    <t>Special-category data needs enhanced confidentiality safeguards given the higher sensitivity/harm from disclosure.</t>
  </si>
  <si>
    <t>Special-category processing register and conditions relied on</t>
  </si>
  <si>
    <t>Processing of criminal conviction/offence data</t>
  </si>
  <si>
    <t>Only process such data under official authority or with appropriate safeguards.</t>
  </si>
  <si>
    <t>Sensitive data requiring confidentiality safeguards.</t>
  </si>
  <si>
    <t>Legal basis and safeguards for criminal-data processing</t>
  </si>
  <si>
    <t>Chapter III</t>
  </si>
  <si>
    <t>Rights of the data subject</t>
  </si>
  <si>
    <t>Art.12-14</t>
  </si>
  <si>
    <t>Transparency and information to data subjects</t>
  </si>
  <si>
    <t>Provide concise, transparent, intelligible information about processing (privacy notices) at the point of collection or within required timeframes.</t>
  </si>
  <si>
    <t>Privacy notices, layered information</t>
  </si>
  <si>
    <t>Right of access</t>
  </si>
  <si>
    <t>Provide data subjects, on request, confirmation of processing and a copy of their personal data plus specified information, within one month.</t>
  </si>
  <si>
    <t>Subject access request (SAR) procedure and log</t>
  </si>
  <si>
    <t>Right to rectification</t>
  </si>
  <si>
    <t>Allow data subjects to have inaccurate personal data corrected without undue delay.</t>
  </si>
  <si>
    <t>Correcting inaccurate data restores the integrity of the personal data held.</t>
  </si>
  <si>
    <t>Rectification request procedure</t>
  </si>
  <si>
    <t>Right to erasure ('right to be forgotten')</t>
  </si>
  <si>
    <t>Erase personal data without undue delay where a listed ground applies (no longer necessary, consent withdrawn, unlawful processing, etc.), subject to exemptions.</t>
  </si>
  <si>
    <t>Erasure request procedure, deletion evidence</t>
  </si>
  <si>
    <t>Right to restriction of processing</t>
  </si>
  <si>
    <t>Restrict processing in specified circumstances (e.g. accuracy contested, processing unlawful) while a matter is resolved.</t>
  </si>
  <si>
    <t>Restriction-marking mechanism in systems</t>
  </si>
  <si>
    <t>Notification obligation re rectification/erasure/restriction</t>
  </si>
  <si>
    <t>Notify each recipient to whom data was disclosed of rectification/erasure/restriction, unless impossible or disproportionate.</t>
  </si>
  <si>
    <t>Recipient notification records</t>
  </si>
  <si>
    <t>Right to data portability</t>
  </si>
  <si>
    <t>Provide personal data in a structured, commonly used, machine-readable format and enable transmission to another controller where technically feasible.</t>
  </si>
  <si>
    <t>Data export/portability mechanism</t>
  </si>
  <si>
    <t>Right to object</t>
  </si>
  <si>
    <t>Allow objection to processing based on legitimate interests/public task, and to direct marketing (absolute right).</t>
  </si>
  <si>
    <t>Objection-handling procedure, marketing opt-out</t>
  </si>
  <si>
    <t>Automated individual decision-making, including profiling</t>
  </si>
  <si>
    <t>Do not base decisions with legal/similarly significant effect solely on automated processing (incl. profiling) unless an exception applies; provide safeguards incl. human intervention and right to contest.</t>
  </si>
  <si>
    <t>AI/automated-decision inventory, human-in-the-loop safeguards</t>
  </si>
  <si>
    <t>Chapter IV S1</t>
  </si>
  <si>
    <t>Controller and processor obligations</t>
  </si>
  <si>
    <t>Responsibility of the controller</t>
  </si>
  <si>
    <t>Implement appropriate technical and organisational measures to ensure and demonstrate processing complies with the Regulation, proportionate to risk.</t>
  </si>
  <si>
    <t>Foundational obligation to implement security/organisational measures protecting personal data across CIA.</t>
  </si>
  <si>
    <t>TOM (technical and organisational measures) documentation</t>
  </si>
  <si>
    <t>Data protection by design and by default</t>
  </si>
  <si>
    <t>Implement data protection principles (e.g. pseudonymisation, minimisation) by design at the time of determining processing means, and by default ensure only necessary data is processed.</t>
  </si>
  <si>
    <t>Minimisation and pseudonymisation by design/default directly reduce confidentiality exposure.</t>
  </si>
  <si>
    <t>Privacy-by-design records, default settings review</t>
  </si>
  <si>
    <t>Joint controllers</t>
  </si>
  <si>
    <t>Determine and transparently document respective responsibilities of joint controllers via an arrangement.</t>
  </si>
  <si>
    <t>Joint-controller arrangement</t>
  </si>
  <si>
    <t>Representatives of controllers/processors not established in the Union</t>
  </si>
  <si>
    <t>Designate an EU representative where required by territorial scope.</t>
  </si>
  <si>
    <t>Representative appointment</t>
  </si>
  <si>
    <t>Art.28</t>
  </si>
  <si>
    <t>Processor</t>
  </si>
  <si>
    <t>Use only processors providing sufficient guarantees; govern processing via a binding contract (DPA) covering subject matter, duration, nature, purpose, data types, obligations incl. security, sub-processor rules, and audit rights.</t>
  </si>
  <si>
    <t>DPAs must require the processor to implement Article 32 security measures protecting confidentiality, integrity and availability of the data it processes.</t>
  </si>
  <si>
    <t>Data processing agreements (DPAs) with all processors</t>
  </si>
  <si>
    <t>Art.29</t>
  </si>
  <si>
    <t>Processing under the authority of the controller or processor</t>
  </si>
  <si>
    <t>Ensure persons processing data under the controller's/processor's authority do so only on instructions, unless required by law.</t>
  </si>
  <si>
    <t>Limits who can access personal data, protecting confidentiality.</t>
  </si>
  <si>
    <t>Access authorisation and instruction records</t>
  </si>
  <si>
    <t>Art.30</t>
  </si>
  <si>
    <t>Records of processing activities</t>
  </si>
  <si>
    <t>Maintain records of processing activities (ROPA) covering purposes, categories of data/subjects, recipients, transfers, retention periods and security measures.</t>
  </si>
  <si>
    <t>ROPA</t>
  </si>
  <si>
    <t>Art.31</t>
  </si>
  <si>
    <t>Cooperation with the supervisory authority</t>
  </si>
  <si>
    <t>Cooperate with the supervisory authority on request in the performance of its tasks.</t>
  </si>
  <si>
    <t>Regulator engagement procedure</t>
  </si>
  <si>
    <t>Chapter IV S2</t>
  </si>
  <si>
    <t>Security of personal data</t>
  </si>
  <si>
    <t>Art.32</t>
  </si>
  <si>
    <t>Security of processing</t>
  </si>
  <si>
    <t>Implement appropriate technical and organisational measures to ensure a level of security appropriate to risk: pseudonymisation/encryption; ongoing confidentiality, integrity, availability and resilience of systems; ability to restore availability/access after an incident; regular testing/evaluation of measures.</t>
  </si>
  <si>
    <t>This is GDPR's core cybersecurity article - it explicitly names confidentiality, integrity, availability and resilience as the required security outcomes.</t>
  </si>
  <si>
    <t>Security policy, encryption/pseudonymisation controls, resilience/DR testing, security testing reports</t>
  </si>
  <si>
    <t>Art.33</t>
  </si>
  <si>
    <t>Notification of a personal data breach to the supervisory authority</t>
  </si>
  <si>
    <t>Notify the supervisory authority without undue delay, and where feasible within 72 hours, of becoming aware of a personal data breach, unless unlikely to result in risk; document all breaches.</t>
  </si>
  <si>
    <t>Breach response protects against further loss of confidentiality/integrity/availability and is triggered specifically by CIA-impacting events.</t>
  </si>
  <si>
    <t>Breach notification procedure, breach register, notifications sent</t>
  </si>
  <si>
    <t>Art.34</t>
  </si>
  <si>
    <t>Communication of a personal data breach to the data subject</t>
  </si>
  <si>
    <t>Communicate the breach to affected data subjects without undue delay when it is likely to result in a high risk to their rights and freedoms.</t>
  </si>
  <si>
    <t>Follows directly from a confidentiality/integrity/availability-impacting breach.</t>
  </si>
  <si>
    <t>Data-subject breach notifications, risk assessment of breach</t>
  </si>
  <si>
    <t>Chapter IV S3</t>
  </si>
  <si>
    <t>Data protection impact assessment and prior consultation</t>
  </si>
  <si>
    <t>Art.35</t>
  </si>
  <si>
    <t>Data protection impact assessment (DPIA)</t>
  </si>
  <si>
    <t>Carry out a DPIA before processing likely to result in high risk to individuals (e.g. large-scale special-category processing, systematic monitoring, new technology incl. AI); describe processing, necessity/proportionality, risks, and measures to address them.</t>
  </si>
  <si>
    <t>DPIAs must assess and mitigate confidentiality/privacy risks to individuals from the processing.</t>
  </si>
  <si>
    <t>DPIA reports</t>
  </si>
  <si>
    <t>Art.36</t>
  </si>
  <si>
    <t>Prior consultation</t>
  </si>
  <si>
    <t>Consult the supervisory authority prior to processing where a DPIA indicates high residual risk that cannot be mitigated.</t>
  </si>
  <si>
    <t>Prior consultation records where applicable</t>
  </si>
  <si>
    <t>Chapter IV S4</t>
  </si>
  <si>
    <t>Data protection officer</t>
  </si>
  <si>
    <t>Art.37</t>
  </si>
  <si>
    <t>Designation of the data protection officer</t>
  </si>
  <si>
    <t>Designate a DPO where required (public authority, large-scale regular/systematic monitoring, or large-scale special-category processing); publish contact details and notify the supervisory authority.</t>
  </si>
  <si>
    <t>DPO appointment record, published contact details</t>
  </si>
  <si>
    <t>Art.38</t>
  </si>
  <si>
    <t>Position of the DPO</t>
  </si>
  <si>
    <t>Involve the DPO properly and in a timely manner in all data protection matters; provide resources and independence; DPO reports to highest management level.</t>
  </si>
  <si>
    <t>DPO involvement records, resourcing evidence</t>
  </si>
  <si>
    <t>Art.39</t>
  </si>
  <si>
    <t>Tasks of the DPO</t>
  </si>
  <si>
    <t>DPO informs/advises on obligations, monitors compliance, advises on DPIAs, cooperates with and acts as contact point for the supervisory authority.</t>
  </si>
  <si>
    <t>DPO activity records</t>
  </si>
  <si>
    <t>Transfers of personal data to third countries or international organisations</t>
  </si>
  <si>
    <t>Art.44-45</t>
  </si>
  <si>
    <t>General principle for transfers / adequacy decisions</t>
  </si>
  <si>
    <t>Transfer personal data outside the EEA only where an adequacy decision applies or another Chapter V mechanism is used.</t>
  </si>
  <si>
    <t>Transfer mechanism register</t>
  </si>
  <si>
    <t>Art.46</t>
  </si>
  <si>
    <t>Transfers subject to appropriate safeguards</t>
  </si>
  <si>
    <t>Absent adequacy, use appropriate safeguards (e.g. Standard Contractual Clauses, Binding Corporate Rules) providing enforceable rights and effective remedies.</t>
  </si>
  <si>
    <t>Cross-border transfer safeguards protect confidentiality of personal data once it leaves the EEA's legal protections.</t>
  </si>
  <si>
    <t>Signed SCCs/BCRs, transfer impact assessments</t>
  </si>
  <si>
    <t>Art.49</t>
  </si>
  <si>
    <t>Derogations for specific situations</t>
  </si>
  <si>
    <t>Rely on derogations (explicit consent, contract necessity, public interest, etc.) only where Article 46 mechanisms are unavailable and conditions are met.</t>
  </si>
  <si>
    <t>Derogation justification records</t>
  </si>
  <si>
    <t>Remedies, liability and penalties</t>
  </si>
  <si>
    <t>Art.82</t>
  </si>
  <si>
    <t>Right to compensation and liability</t>
  </si>
  <si>
    <t>Data subjects have the right to compensation for material or non-material damage from an infringement; controllers/processors are liable unless not responsible for the event.</t>
  </si>
  <si>
    <t>Liability/insurance review</t>
  </si>
  <si>
    <t>Art.83</t>
  </si>
  <si>
    <t>Administrative fines</t>
  </si>
  <si>
    <t>Ensure compliance to avoid fines (tiered, up to the higher of EUR 20m or 4% of global annual turnover for the most serious infringements).</t>
  </si>
  <si>
    <t>OWASP Top 10 for LLM Applications 2025 (v2.0) - Risk Checklist, with CIA Marking</t>
  </si>
  <si>
    <t>Risk</t>
  </si>
  <si>
    <t>Description</t>
  </si>
  <si>
    <t>Mitigations</t>
  </si>
  <si>
    <t>LLM01:2025</t>
  </si>
  <si>
    <t>Prompt Injection</t>
  </si>
  <si>
    <t>Crafted inputs (direct or indirect, via untrusted content the model retrieves/ingests) override or manipulate the model's instructions, causing unintended actions, data exposure or policy violations.</t>
  </si>
  <si>
    <t>Enforce privilege control on LLM access to backend systems; segregate/mark external content; require human approval for high-risk actions; adversarial/red-team testing; input/output filtering.</t>
  </si>
  <si>
    <t>Can be used to exfiltrate data (C), manipulate outputs/actions (I), or trigger disruptive/unbounded actions (A) depending on what the model is connected to.</t>
  </si>
  <si>
    <t>Test reports / control evidence for this risk</t>
  </si>
  <si>
    <t>LLM02:2025</t>
  </si>
  <si>
    <t>Sensitive Information Disclosure</t>
  </si>
  <si>
    <t>The model inadvertently exposes PII, credentials, proprietary data or confidential business information present in training data, context or connected systems.</t>
  </si>
  <si>
    <t>Data sanitization/redaction; strict access controls on data the model can reach; differential privacy/federated learning where applicable; conceal system prompts; output filtering for sensitive patterns.</t>
  </si>
  <si>
    <t>Direct confidentiality risk - unauthorized disclosure of sensitive data through model output.</t>
  </si>
  <si>
    <t>LLM03:2025</t>
  </si>
  <si>
    <t>Supply Chain</t>
  </si>
  <si>
    <t>Compromised or vulnerable components in the LLM supply chain - pre-trained models, fine-tuning adapters (e.g. LoRA), datasets, plugins and deployment platforms - introduce vulnerabilities, backdoors or bias.</t>
  </si>
  <si>
    <t>Vet data/model sources and suppliers; vulnerability scanning of models/dependencies; maintain an AI/ML Bill of Materials (SBOM/MLBOM); use verifiable model provenance and integrity checks; monitor collaborative development platforms.</t>
  </si>
  <si>
    <t>A compromised supply-chain component can leak data (C), alter model behaviour (I) or disable the service (A).</t>
  </si>
  <si>
    <t>LLM04:2025</t>
  </si>
  <si>
    <t>Data and Model Poisoning</t>
  </si>
  <si>
    <t>Manipulation of training, fine-tuning or embedding data introduces vulnerabilities, backdoors or biases that compromise the model's security, effectiveness or ethical behaviour.</t>
  </si>
  <si>
    <t>Track data lineage/provenance; vet data vendors; strict sandboxing of training pipelines; use data version control (DVC); red-team for poisoning; monitor training loss/behaviour for anomalies.</t>
  </si>
  <si>
    <t>Poisoning directly corrupts the integrity of the model's learned behaviour.</t>
  </si>
  <si>
    <t>LLM05:2025</t>
  </si>
  <si>
    <t>Improper Output Handling</t>
  </si>
  <si>
    <t>Insufficient validation, sanitization or escaping of LLM output before it is passed to downstream systems, enabling XSS, CSRF, SSRF, privilege escalation or remote code execution.</t>
  </si>
  <si>
    <t>Treat model output as untrusted input; apply context-aware output encoding/sanitization; validate before executing/rendering; least-privilege execution of any downstream action.</t>
  </si>
  <si>
    <t>Unvalidated output can corrupt downstream systems (I) or be used to trigger disruptive actions (A) via the systems that consume it.</t>
  </si>
  <si>
    <t>LLM06:2025</t>
  </si>
  <si>
    <t>Excessive Agency</t>
  </si>
  <si>
    <t>An LLM-based agent is granted excessive functionality, permissions or autonomy, allowing it to take damaging actions beyond what the task requires, especially when combined with prompt injection.</t>
  </si>
  <si>
    <t>Apply least-privilege scoping of tools/functions/plugins; require human approval for consequential actions; limit autonomous action chains; log and monitor agent actions; use sandboxed execution environments.</t>
  </si>
  <si>
    <t>An over-privileged agent can be manipulated into unauthorized disclosure (C), unintended changes (I) or destructive/disruptive actions (A).</t>
  </si>
  <si>
    <t>LLM07:2025</t>
  </si>
  <si>
    <t>System Prompt Leakage</t>
  </si>
  <si>
    <t>Attackers extract the hidden system prompt, exposing internal instructions, business logic, credentials or guardrail design that can then be used to bypass safeguards.</t>
  </si>
  <si>
    <t>Avoid placing secrets/credentials in system prompts; treat system prompts as sensitive but not as a security boundary; use out-of-band guardrails independent of the prompt; test for extraction via red-teaming.</t>
  </si>
  <si>
    <t>Direct confidentiality risk to the operator's internal instructions and any embedded secrets.</t>
  </si>
  <si>
    <t>LLM08:2025</t>
  </si>
  <si>
    <t>Vector and Embedding Weaknesses</t>
  </si>
  <si>
    <t>Weaknesses in how vectors/embeddings are generated, stored, or retrieved (e.g. in RAG pipelines) allow injection of malicious content, data poisoning of the knowledge base, or unauthorized retrieval of restricted data.</t>
  </si>
  <si>
    <t>Apply access controls/permissions on the vector store per document sensitivity; validate/sanitize ingested content before embedding; monitor retrieval patterns; isolate multi-tenant vector stores.</t>
  </si>
  <si>
    <t>Retrieval-store weaknesses can expose data across access boundaries (C) or let injected content corrupt retrieved context (I).</t>
  </si>
  <si>
    <t>LLM09:2025</t>
  </si>
  <si>
    <t>Misinformation</t>
  </si>
  <si>
    <t>The model produces confident but false or misleading output (hallucination), which users or downstream systems may treat as reliable, leading to harmful decisions, legal exposure or reputational damage.</t>
  </si>
  <si>
    <t>Ground outputs with retrieval/citation (RAG) and require source attribution; implement automated fact-checking/cross-verification; communicate limitations to users; human review for high-stakes outputs.</t>
  </si>
  <si>
    <t>Misinformation is fundamentally an integrity failure - the output does not reliably reflect truth or the intended knowledge base.</t>
  </si>
  <si>
    <t>LLM10:2025</t>
  </si>
  <si>
    <t>Unbounded Consumption</t>
  </si>
  <si>
    <t>Uncontrolled or excessive inference requests (denial of wallet/service, resource exhaustion) degrade availability or cause uncontrolled cost, incl. via model extraction through repeated querying.</t>
  </si>
  <si>
    <t>Rate limiting and quotas per user/API key; input/output size limits; monitor for abnormal usage patterns; cost alerting and circuit breakers; watermarking/output limits to deter model extraction.</t>
  </si>
  <si>
    <t>Directly an availability and resource-exhaustion risk, with a confidentiality dimension when used for model extraction.</t>
  </si>
  <si>
    <t>ISO/IEC 27701:2019 - Privacy Information Management System (PIMS) Checklist, with CIA Marking</t>
  </si>
  <si>
    <t>Requirement / guidance</t>
  </si>
  <si>
    <t>PIMS-specific requirements related to ISO/IEC 27001 (extends ISMS clauses 4-10 to privacy)</t>
  </si>
  <si>
    <t>Context of the organization (privacy extension)</t>
  </si>
  <si>
    <t>Extend ISO 27001 4.1-4.4 to consider the organization's role (PII controller and/or processor), applicable privacy laws/regulations (e.g. GDPR, PDPPL), and interested parties relevant to PII processing.</t>
  </si>
  <si>
    <t>None - privacy governance/rights-based requirement without a direct CIA-protection function.</t>
  </si>
  <si>
    <t>PIMS scope statement identifying controller/processor role(s) and applicable privacy law</t>
  </si>
  <si>
    <t>Leadership (privacy extension)</t>
  </si>
  <si>
    <t>Extend ISO 27001 5.1-5.3 so the information security policy is extended (or a separate privacy policy established) with privacy roles and responsibilities assigned.</t>
  </si>
  <si>
    <t>Privacy policy, PIMS roles/RACI</t>
  </si>
  <si>
    <t>Planning (privacy extension) - privacy risk assessment</t>
  </si>
  <si>
    <t>Extend the ISO 27001 risk assessment (6.1.2) to consider risks associated with the processing of PII to both the organization and to PII principals; extend risk treatment (6.1.3) and produce a PIMS Statement of Applicability referencing Annex A/B.</t>
  </si>
  <si>
    <t>Privacy risk assessment specifically evaluates confidentiality/exposure risk to individuals from PII processing.</t>
  </si>
  <si>
    <t>Privacy risk assessment methodology and register, PIMS SoA</t>
  </si>
  <si>
    <t>Support (privacy extension)</t>
  </si>
  <si>
    <t>Extend ISO 27001 7.x so resources, competence, awareness, communication and documented information also cover the PIMS.</t>
  </si>
  <si>
    <t>Privacy training records, PIMS documentation set</t>
  </si>
  <si>
    <t>Operation (privacy extension)</t>
  </si>
  <si>
    <t>Extend ISO 27001 8.1-8.3 operational planning/control and risk assessment/treatment to privacy risks arising from operating the PIMS.</t>
  </si>
  <si>
    <t>PIMS operating procedures</t>
  </si>
  <si>
    <t>Performance evaluation (privacy extension)</t>
  </si>
  <si>
    <t>Extend ISO 27001 9.1-9.3 monitoring, internal audit and management review to cover PIMS conformity and effectiveness.</t>
  </si>
  <si>
    <t>PIMS-inclusive internal audit and management review records</t>
  </si>
  <si>
    <t>Improvement (privacy extension)</t>
  </si>
  <si>
    <t>Extend ISO 27001 10.1-10.2 continual improvement and corrective action to nonconformities affecting the PIMS.</t>
  </si>
  <si>
    <t>PIMS nonconformity/CAPA records</t>
  </si>
  <si>
    <t>PIMS-specific guidance related to ISO/IEC 27002 controls (privacy overlay on the 93 security controls)</t>
  </si>
  <si>
    <t>6.O</t>
  </si>
  <si>
    <t>Organizational controls - privacy guidance</t>
  </si>
  <si>
    <t>Apply privacy-specific guidance to organizational controls (e.g. policies, asset inventory to include PII inventory, classification of PII, supplier/third-party PII processing terms, incident management covering PII breaches).</t>
  </si>
  <si>
    <t>Extends organizational security controls specifically to protect the confidentiality of PII.</t>
  </si>
  <si>
    <t>PII asset/data inventory, supplier PII clauses, PII breach procedure</t>
  </si>
  <si>
    <t>6.P</t>
  </si>
  <si>
    <t>People controls - privacy guidance</t>
  </si>
  <si>
    <t>Apply privacy-specific guidance to people controls (e.g. screening, terms of employment, awareness/training on PII handling, confidentiality obligations).</t>
  </si>
  <si>
    <t>PII-specific confidentiality agreements/training</t>
  </si>
  <si>
    <t>6.Ph</t>
  </si>
  <si>
    <t>Physical controls - privacy guidance</t>
  </si>
  <si>
    <t>Apply privacy-specific guidance to physical controls (e.g. secure areas/media handling where PII is stored or processed physically).</t>
  </si>
  <si>
    <t>Physical control review for locations holding PII</t>
  </si>
  <si>
    <t>6.T</t>
  </si>
  <si>
    <t>Technological controls - privacy guidance</t>
  </si>
  <si>
    <t>Apply privacy-specific guidance to technological controls (e.g. access control, cryptography, data masking/de-identification, deletion, logging) specifically for systems processing PII.</t>
  </si>
  <si>
    <t>Technical controls (encryption, masking, access control, deletion) directly protect confidentiality and integrity of PII.</t>
  </si>
  <si>
    <t>Technical control mapping to PII systems (encryption, masking, deletion)</t>
  </si>
  <si>
    <t>Additional ISO/IEC 27002 guidance for PII controllers</t>
  </si>
  <si>
    <t>Conditions for collection and processing</t>
  </si>
  <si>
    <t>Identify and document the lawful basis for processing, ensure PII is collected/processed only for identified, specific, explicit and legitimate purposes; determine and comply with obligations to PII principals; obtain/record consent where relied upon; conduct privacy impact assessments where required.</t>
  </si>
  <si>
    <t>Legal basis register, consent records, PIA/DPIA reports</t>
  </si>
  <si>
    <t>Obligations to PII principals</t>
  </si>
  <si>
    <t>Provide transparent information to PII principals; support their rights (access, correction, erasure, objection); establish mechanisms for requests and complaints; handle automated decision-making per policy.</t>
  </si>
  <si>
    <t>Privacy notices, data-subject rights procedure and request log</t>
  </si>
  <si>
    <t>Privacy by design and privacy by default</t>
  </si>
  <si>
    <t>Limit collection/processing to what is adequate, relevant and limited to purpose (minimisation); de-identify/delete PII when no longer needed; ensure PII disposal at end of retention; design temporary files and system-generated data to protect privacy.</t>
  </si>
  <si>
    <t>Minimisation, de-identification and deletion directly reduce confidentiality exposure of PII.</t>
  </si>
  <si>
    <t>Privacy-by-design records, retention/deletion schedule, temp-file handling policy</t>
  </si>
  <si>
    <t>PII sharing, transfer and disclosure</t>
  </si>
  <si>
    <t>Identify the basis for transfers between jurisdictions/organizations; document and communicate applicable transfer mechanisms; record and manage disclosures to third parties, incl. legally mandated disclosures.</t>
  </si>
  <si>
    <t>Controls over sharing/transfer/disclosure directly govern who may access PII and under what safeguards.</t>
  </si>
  <si>
    <t>Transfer/disclosure register, cross-border transfer mechanism records (e.g. SCCs)</t>
  </si>
  <si>
    <t>Additional ISO/IEC 27002 guidance for PII processors</t>
  </si>
  <si>
    <t>Process PII only per documented instructions of the controller (incl. for transfers); ensure the contract with the controller addresses PII processing; assist the controller in fulfilling its obligations.</t>
  </si>
  <si>
    <t>Processing agreement (DPA), documented controller instructions</t>
  </si>
  <si>
    <t>Assist the controller in providing information to and fulfilling the rights of PII principals, per contract; do not respond directly to PII principals unless authorized.</t>
  </si>
  <si>
    <t>Processor support procedure for data-subject rights requests</t>
  </si>
  <si>
    <t>Apply temporary files/data minimisation, retention/return/disposal of PII at contract end or on instruction, and ensure sub-processing arrangements uphold the same privacy protections.</t>
  </si>
  <si>
    <t>Return/disposal at contract end and sub-processor flow-down protect confidentiality of PII across the processing chain.</t>
  </si>
  <si>
    <t>Sub-processor register and flow-down clauses, end-of-contract deletion/return evidence</t>
  </si>
  <si>
    <t>Notify the controller of legally binding requests for disclosure, of any unauthorized access/breach, and of the use of sub-processors; disclose/transfer PII only per controller instructions and applicable transfer mechanisms.</t>
  </si>
  <si>
    <t>Breach notification and controlled disclosure protect confidentiality and preserve accountable, unaltered handling of PII.</t>
  </si>
  <si>
    <t>Sub-processor notifications, breach notification to controller, disclosure records</t>
  </si>
  <si>
    <t>PIMS-specific reference controls for PII controllers</t>
  </si>
  <si>
    <t>Implement the Annex A control set (mapped to the Clause 7 categories above: conditions for collection/processing, obligations to PII principals, privacy by design/default, sharing/transfer/disclosure) as the certifiable controller control objectives, selected via the PIMS risk assessment and SoA.</t>
  </si>
  <si>
    <t>Controller SoA with Annex A controls selected/justified</t>
  </si>
  <si>
    <t>PIMS-specific reference controls for PII processors</t>
  </si>
  <si>
    <t>Implement the Annex B control set (mapped to the Clause 8 categories above) as the certifiable processor control objectives, selected via the PIMS risk assessment and SoA.</t>
  </si>
  <si>
    <t>Processor SoA with Annex B controls selected/justified</t>
  </si>
  <si>
    <t>Annex C-E</t>
  </si>
  <si>
    <t>Mapping annexes (ISO/IEC 29100, GDPR, ISO/IEC 27018 and 29151)</t>
  </si>
  <si>
    <t>Use the informative mapping annexes to cross-reference PIMS controls to the ISO/IEC 29100 privacy framework, GDPR articles, and cloud-PII-specific standards ISO/IEC 27018 and 29151.</t>
  </si>
  <si>
    <t>Cross-reference table used for GDPR/29100 alignment (see Tab 9 GDPR)</t>
  </si>
  <si>
    <t>Master Control List - All 19 Frameworks, Grouped by Common Control Domain</t>
  </si>
  <si>
    <t>Domain</t>
  </si>
  <si>
    <t>Framework</t>
  </si>
  <si>
    <t>Requirement (condensed)</t>
  </si>
  <si>
    <t>Human Resources Security &amp; Awareness  (46 items across 13 frameworks)</t>
  </si>
  <si>
    <t>Human Resources Security &amp; Awareness</t>
  </si>
  <si>
    <t>ISO/IEC 42001</t>
  </si>
  <si>
    <t>ISO/IEC 27001</t>
  </si>
  <si>
    <t>Privacy by Design (Cavoukian)</t>
  </si>
  <si>
    <t>Opt-in, not opt-out, for anything beyond the necessary minimum</t>
  </si>
  <si>
    <t>Any processing beyond what is strictly necessary (e.g. marketing, analytics, AI training on user data) requires an affirmative, informed choice rather than being pre-enabled.</t>
  </si>
  <si>
    <t>Communicate in clear, understandable language</t>
  </si>
  <si>
    <t>Ensure privacy-related information presented within the design (notices, prompts, settings) is written in plain, non-technical, non-legalistic language appropriate to the audience.</t>
  </si>
  <si>
    <t>Communicating to diverse consumer population</t>
  </si>
  <si>
    <t>Ensure privacy communications are accessible and understandable across the diversity of the consumer population (language, literacy, disability, age, context of use).</t>
  </si>
  <si>
    <t>Integrating design/operation of privacy controls into product development and management lifecycles</t>
  </si>
  <si>
    <t>Embed privacy-control design and operation activities into the standard product development and management lifecycle (e.g. stage gates, sprints, release processes), not as a separate parallel track.</t>
  </si>
  <si>
    <t>AI.4</t>
  </si>
  <si>
    <t>Provenance of AI-generated content (related but distinct standard)</t>
  </si>
  <si>
    <t>Where the AI system generates synthetic content (text, image, audio, video), be aware that content-level provenance/authenticity (e.g. watermarking, C2PA Content Credentials) is addressed by separate, content-focused standards/initiative...</t>
  </si>
  <si>
    <t>Apply established information security practice as the foundation</t>
  </si>
  <si>
    <t>Recognize that AI systems run on conventional computer systems/networks, so all the usual confidentiality, integrity and availability/cybersecurity concerns (e.g. ISO 27001/27002, Tab 7) still apply and remain essential - AI-specific thr...</t>
  </si>
  <si>
    <t>Further threats per the standard's catalogue (12+ scenarios)</t>
  </si>
  <si>
    <t>Beyond the named threats above, the standard's threat catalogue covers at least a dozen scenarios in total (each with about a page of guidance); review the full published catalogue for scenarios not individually itemised in this tab (e.g...</t>
  </si>
  <si>
    <t>Apply threat-specific detection and mitigation guidance</t>
  </si>
  <si>
    <t>For each threat in Clause 6, apply the standard's guidance on characterising the threat, its potential consequences, and how to detect and mitigate it - rather than applying generic security controls uniformly without considering threat-...</t>
  </si>
  <si>
    <t>Annex C</t>
  </si>
  <si>
    <t>Federated machine learning</t>
  </si>
  <si>
    <t>Apply additional considerations for federated learning architectures, where training occurs across distributed data holders without centralising raw data - a different trust and attack-surface model from centralised training.</t>
  </si>
  <si>
    <t>TA-06</t>
  </si>
  <si>
    <t>Persistence</t>
  </si>
  <si>
    <t>Adversary maintains a foothold across restarts, retraining or redeployment of the AI system (e.g. a persistent backdoor embedded in a model or pipeline).</t>
  </si>
  <si>
    <t>Governance, Policy &amp; Leadership  (42 items across 10 frameworks)</t>
  </si>
  <si>
    <t>Governance, Policy &amp; Leadership</t>
  </si>
  <si>
    <t>Make privacy a stated organizational commitment</t>
  </si>
  <si>
    <t>Adopt a documented commitment (policy/charter) that privacy protection is a default objective of every product and process, with leadership accountability.</t>
  </si>
  <si>
    <t>Make privacy practices visible to users and stakeholders</t>
  </si>
  <si>
    <t>Ensure privacy notices, settings and data flows are clear, accessible and accurately reflect what the design actually does - avoid gaps between stated policy and actual behaviour.</t>
  </si>
  <si>
    <t>Art.45</t>
  </si>
  <si>
    <t>Cyber threat information and intelligence sharing</t>
  </si>
  <si>
    <t>May voluntarily participate in cyber threat intelligence sharing arrangements with other financial entities, while protecting confidential information and complying with competition rules; participation supports (but does not replace) th...</t>
  </si>
  <si>
    <t>Secure AI Development, Testing &amp; Robustness  (29 items across 7 frameworks)</t>
  </si>
  <si>
    <t>Secure AI Development, Testing &amp; Robustness</t>
  </si>
  <si>
    <t>Protection and prevention</t>
  </si>
  <si>
    <t>Implement controls: information security policies/procedures/access controls, network segmentation, encryption/cryptography policies, third-party access policies, change management, document management, patch management, and ICT project ...</t>
  </si>
  <si>
    <t>Testing of ICT tools and systems</t>
  </si>
  <si>
    <t>Perform a range of basic tests: vulnerability assessments/scans, network security assessments, source code reviews, performance tests, end-to-end tests, and scenario-based compatibility tests.</t>
  </si>
  <si>
    <t>MT.2</t>
  </si>
  <si>
    <t>Align model testing with the 'secure and resilient' trustworthy characteristic</t>
  </si>
  <si>
    <t>Where model testing covers security-relevant behaviour (robustness to adversarial inputs, resistance to manipulation), ensure this is explicitly scoped alongside functional/accuracy testing.</t>
  </si>
  <si>
    <t>RT.1</t>
  </si>
  <si>
    <t>Establish or engage a red-teaming capability aligned to ARIA's approach</t>
  </si>
  <si>
    <t>Build (or contract) a red-teaming capability able to rigorously challenge the AI system to surface weaknesses, consistent with ARIA's structured, scenario-based red-teaming methodology.</t>
  </si>
  <si>
    <t>RT.2</t>
  </si>
  <si>
    <t>Scope red-teaming scenarios against known AI risk taxonomies</t>
  </si>
  <si>
    <t>Design red-team scenarios informed by the NIST AI RMF GenAI Profile risks and, where relevant, the OWASP LLM Top 10 (Tab 10), so red-teaming coverage is traceable to a recognized risk set.</t>
  </si>
  <si>
    <t>RT.3</t>
  </si>
  <si>
    <t>Capture and remediate red-team findings</t>
  </si>
  <si>
    <t>Document red-teaming findings, prioritise by severity, and track remediation to closure, consistent with how ARIA expects materialized risks to feed back into system improvement.</t>
  </si>
  <si>
    <t>M.1</t>
  </si>
  <si>
    <t>Understand CoRIx as ARIA's composite measurement instrument</t>
  </si>
  <si>
    <t>Recognize that ARIA scores evaluated systems on the Contextual Robustness Index (CoRIx), a suite of metrics (ARIA documents ten measurement dimensions, including the seven AI RMF trustworthy characteristics - valid/reliable, safe, secure...</t>
  </si>
  <si>
    <t>ID</t>
  </si>
  <si>
    <t>MITRE ATLAS - identification</t>
  </si>
  <si>
    <t>MITRE ATLAS (Adversarial Threat Landscape for Artificial-Intelligence Systems): a public, living knowledge base of adversary tactics, techniques and real-world case studies targeting AI/ML systems, maintained by MITRE (with the Center fo...</t>
  </si>
  <si>
    <t>Use</t>
  </si>
  <si>
    <t>How this framework is used (not a compliance checklist)</t>
  </si>
  <si>
    <t>ATLAS is a threat-intelligence and red-teaming reference, not a certifiable requirements standard: use it to red-team AI systems, to structure detection engineering/SOC use cases for AI-specific attacks, and as a common language between ...</t>
  </si>
  <si>
    <t>AI System &amp; Societal Impact Assessment  (27 items across 8 frameworks)</t>
  </si>
  <si>
    <t>AI System &amp; Societal Impact Assessment</t>
  </si>
  <si>
    <t>Use systems per instructions, assign competent human oversight, ensure input data relevance, monitor operation, keep automatically generated logs (min. 6 months), inform provider/authorities of risks or serious incidents, cooperate with ...</t>
  </si>
  <si>
    <t>Certain deployers (public bodies, banking/insurance, etc.) perform a fundamental rights impact assessment before deployment: process description, period/frequency of use, affected persons, specific risks, human oversight measures, and mi...</t>
  </si>
  <si>
    <t>Adopt the standard's terminology (AI system impact assessment, affected stakeholder, AI actor, etc.) and understand its purpose: assessing how an AI system and its foreseeable applications may affect individuals, groups and society acros...</t>
  </si>
  <si>
    <t>Carry out a DPIA before processing likely to result in high risk to individuals (e.g. large-scale special-category processing, systematic monitoring, new technology incl. AI); describe processing, necessity/proportionality, risks, and me...</t>
  </si>
  <si>
    <t>Identify and document the lawful basis for processing, ensure PII is collected/processed only for identified, specific, explicit and legitimate purposes; determine and comply with obligations to PII principals; obtain/record consent wher...</t>
  </si>
  <si>
    <t>Conduct a privacy/data protection impact assessment for the design</t>
  </si>
  <si>
    <t>Perform a DPIA/PIA (or AI system impact assessment for AI features) as part of the design process for any processing likely to pose meaningful privacy risk, and feed findings back into the design.</t>
  </si>
  <si>
    <t>FT.2</t>
  </si>
  <si>
    <t>Assess both positive and negative impacts arising from regular use</t>
  </si>
  <si>
    <t>Examine impacts the AI system has in practice - beneficial and harmful - on the people and groups who interact with it, feeding results back into the AI System Impact Assessment (Tab 6, ISO 42005) and AI RMF Map function (Tab 5).</t>
  </si>
  <si>
    <t>D.2</t>
  </si>
  <si>
    <t>Treat ARIA results as research input, not a compliance record</t>
  </si>
  <si>
    <t>Use published ARIA evaluation outcomes (where available) as additional evidence to strengthen internal AI RMF Measure/Manage activities (Tab 5), not as a substitute for the organization's own risk assessment, impact assessment, or regula...</t>
  </si>
  <si>
    <t>Logging, Monitoring &amp; Detection  (25 items across 11 frameworks)</t>
  </si>
  <si>
    <t>Logging, Monitoring &amp; Detection</t>
  </si>
  <si>
    <t>AI actors should be accountable for the proper functioning of AI systems and respect of the principles, based on their roles, context, and consistent with the state of the art; enable traceability, incl. logging, to analyse outcomes and ...</t>
  </si>
  <si>
    <t>Monitoring and updating risk assessment</t>
  </si>
  <si>
    <t>Monitor the product and its context for change and update the privacy risk assessment periodically or when significant changes occur.</t>
  </si>
  <si>
    <t>Managing the operation of privacy controls</t>
  </si>
  <si>
    <t>Operate privacy controls on an ongoing basis once deployed, including monitoring that they continue to function as intended.</t>
  </si>
  <si>
    <t>Detection</t>
  </si>
  <si>
    <t>Maintain mechanisms to promptly detect anomalous activities, including ICT network problems and ICT-related incidents, with multiple layers of control and defined alert thresholds/criteria.</t>
  </si>
  <si>
    <t>Address governance, management and procedural dimensions</t>
  </si>
  <si>
    <t>Treat AI security as spanning strategic, tactical and operational levels - design, development, testing, implementation/integration, use, monitoring, management, maintenance and eventual decommissioning of the AI system - not only techni...</t>
  </si>
  <si>
    <t>Internal Audit, Management Review &amp; Certification  (22 items across 6 frameworks)</t>
  </si>
  <si>
    <t>Internal Audit, Management Review &amp; Certification</t>
  </si>
  <si>
    <t>Provide accountability mechanisms for complaints and redress</t>
  </si>
  <si>
    <t>Design in a clear channel for individuals to raise privacy concerns about the specific product/feature, with a defined response process.</t>
  </si>
  <si>
    <t>Responding to consumer inquiries and complaints</t>
  </si>
  <si>
    <t>Establish a process to receive, track and respond to consumer privacy inquiries and complaints about the product in a timely manner.</t>
  </si>
  <si>
    <t>Incident Management &amp; Breach Notification  (21 items across 8 frameworks)</t>
  </si>
  <si>
    <t>Incident Management &amp; Breach Notification</t>
  </si>
  <si>
    <t>Report serious incidents involving high-risk AI systems to market surveillance authorities without undue delay (specified timelines, incl. immediate for widespread infringement/critical infrastructure), investigate and take corrective ac...</t>
  </si>
  <si>
    <t>Anticipate and prevent privacy-invasive events before they happen</t>
  </si>
  <si>
    <t>Identify privacy risks at the concept/planning stage of any new product, feature, AI system or process - before design begins - rather than reacting after a breach or complaint.</t>
  </si>
  <si>
    <t>Learn from past incidents to prevent recurrence</t>
  </si>
  <si>
    <t>Use lessons from privacy incidents/near-misses (internal or industry-wide) to strengthen design standards and checklists proactively.</t>
  </si>
  <si>
    <t>Prepare data breach communications</t>
  </si>
  <si>
    <t>Prepare, in advance, communication plans and templates for notifying consumers in the event of a data breach affecting the product.</t>
  </si>
  <si>
    <t>Preparing for and managing a privacy breach</t>
  </si>
  <si>
    <t>Prepare an incident response capability specific to privacy breaches affecting the product, and manage actual breaches through detection, containment, assessment and remediation.</t>
  </si>
  <si>
    <t>Learning and evolving</t>
  </si>
  <si>
    <t>Gather, analyse and document findings from major ICT incidents and post-incident reviews; monitor cyber threat intelligence and integrate it into risk assessment; provide ICT security awareness training to all staff, specialist resilienc...</t>
  </si>
  <si>
    <t>Implement crisis communication plans for major ICT incidents or cyber threats, with defined internal escalation procedures and external communication to clients, sector counterparts and public authorities.</t>
  </si>
  <si>
    <t>ICT-related incident management process</t>
  </si>
  <si>
    <t>Establish a documented incident management process with defined roles, classification criteria and escalation paths; report major incidents to senior management with the board informed; communicate with affected clients without undue delay.</t>
  </si>
  <si>
    <t>Classification of ICT-related incidents and cyber threats</t>
  </si>
  <si>
    <t>Classify incidents by impact criteria: clients affected, reputational impact, duration/geographic spread, data losses, service criticality, and economic impact, per the applicable regulatory technical standard.</t>
  </si>
  <si>
    <t>Reporting of major ICT-related incidents</t>
  </si>
  <si>
    <t>Report major incidents to the competent authority in three stages: initial notification within 4 hours of classification as major, intermediate update within 72 hours, and final report within one month; voluntary notification of signific...</t>
  </si>
  <si>
    <t>Specific rules for payment-related major incidents</t>
  </si>
  <si>
    <t>Credit/payment/e-money institutions integrate payment-incident reporting (previously under PSD2) with the DORA major-incident reporting templates and timelines.</t>
  </si>
  <si>
    <t>Documentation, Records &amp; Configuration Control  (21 items across 7 frameworks)</t>
  </si>
  <si>
    <t>Documentation, Records &amp; Configuration Control</t>
  </si>
  <si>
    <t>4.9</t>
  </si>
  <si>
    <t>Documentation and information management</t>
  </si>
  <si>
    <t>Establish documentation and information-management practices covering the product's privacy design, decisions and controls, kept current and accessible to those who need it.</t>
  </si>
  <si>
    <t>Data Subject / Individual Rights &amp; Transparency  (20 items across 5 frameworks)</t>
  </si>
  <si>
    <t>Data Subject / Individual Rights &amp; Transparency</t>
  </si>
  <si>
    <t>Design systems to be sufficiently transparent for deployers to interpret output and use appropriately; provide instructions for use with required content (identity, characteristics, performance, known limitations, human oversight measure...</t>
  </si>
  <si>
    <t>Inform natural persons they are interacting with an AI system (unless obvious); mark synthetic audio/image/video/text (deepfakes) as AI-generated/manipulated; disclose AI-generated text on matters of public interest; disclose emotion-rec...</t>
  </si>
  <si>
    <t>AI actors should provide meaningful information appropriate to context: to foster understanding, inform of AI interaction, enable those affected to understand outcomes, and enable those adversely affected to challenge outcomes based on p...</t>
  </si>
  <si>
    <t>Extend the ISO 27001 risk assessment (6.1.2) to consider risks associated with the processing of PII to both the organization and to PII principals; extend risk treatment (6.1.3) and produce a PIMS Statement of Applicability referencing ...</t>
  </si>
  <si>
    <t>Implement the Annex A control set (mapped to the Clause 7 categories above: conditions for collection/processing, obligations to PII principals, privacy by design/default, sharing/transfer/disclosure) as the certifiable controller contro...</t>
  </si>
  <si>
    <t>Designing capabilities to enable consumers to enforce their privacy rights</t>
  </si>
  <si>
    <t>Design the product/service so consumers can exercise their privacy rights (e.g. access, correction, deletion, withdrawal of consent) directly through the product, not only through an external process.</t>
  </si>
  <si>
    <t>Third-Party, Supplier &amp; AI Supply Chain  (19 items across 10 frameworks)</t>
  </si>
  <si>
    <t>Third-Party, Supplier &amp; AI Supply Chain</t>
  </si>
  <si>
    <t>Determine when a distributor, importer, deployer or third party is considered a provider (e.g. substantial modification, own branding) and assumes provider obligations; third-party suppliers provide necessary information/access via writt...</t>
  </si>
  <si>
    <t>Design components and operations to be independently verifiable</t>
  </si>
  <si>
    <t>Build the system so its privacy practices can be independently verified (e.g. via audit logs, documentation, or third-party assessment), not just asserted in a policy.</t>
  </si>
  <si>
    <t>Assessing privacy capabilities of third parties</t>
  </si>
  <si>
    <t>Assess the privacy capabilities of third parties (suppliers, component providers, service partners) involved in the product's data processing.</t>
  </si>
  <si>
    <t>Operating privacy controls for dependent processes/products throughout the PII lifecycle</t>
  </si>
  <si>
    <t>Ensure privacy controls also operate correctly across the processes and third-party products/services the in-scope product depends on, throughout the PII lifecycle.</t>
  </si>
  <si>
    <t>Art.42</t>
  </si>
  <si>
    <t>Liability of financial entities</t>
  </si>
  <si>
    <t>Designation of a provider as a CTPP, and the oversight regime around it, does not reduce the financial entity's own responsibility for DORA compliance - obligations cannot be outsourced to the provider.</t>
  </si>
  <si>
    <t>Risk Assessment &amp; Treatment  (18 items across 9 frameworks)</t>
  </si>
  <si>
    <t>Risk Assessment &amp; Treatment</t>
  </si>
  <si>
    <t>Select treatment options; determine all necessary controls (compare against Annex A); produce Statement of Applicability with justification for inclusions/exclusions; formulate treatment plan; obtain risk owner approval of plan and resid...</t>
  </si>
  <si>
    <t>Establishing and documenting requirements for privacy controls</t>
  </si>
  <si>
    <t>Based on the risk assessment, establish and document the specific privacy control requirements the product must meet.</t>
  </si>
  <si>
    <t>Including privacy risks in cybersecurity resilience design</t>
  </si>
  <si>
    <t>Ensure privacy risks are explicitly considered as part of the product's cybersecurity resilience design, so privacy and security risk treatment are integrated rather than siloed.</t>
  </si>
  <si>
    <t>G.5</t>
  </si>
  <si>
    <t>Integrate FAIR outputs into the existing risk register and decision processes</t>
  </si>
  <si>
    <t>Feed FAIR-quantified risk scenarios into the organization's existing risk register, risk appetite statements, and treatment decisions (e.g. alongside the ISO 27001/42001 risk registers already tracked in this workbook), rather than runni...</t>
  </si>
  <si>
    <t>Mapping attacks to AI system life cycle and assets</t>
  </si>
  <si>
    <t>Map each threat/attack to the specific AI system life-cycle stage(s) (per ISO/IEC 5338) and asset(s) it targets (data, model, infrastructure, prompts/outputs), to prioritise controls at the stages and assets most exposed.</t>
  </si>
  <si>
    <t>Risk Quantification (FAIR)  (17 items across 1 frameworks)</t>
  </si>
  <si>
    <t>Risk Quantification (FAIR)</t>
  </si>
  <si>
    <t>T.1</t>
  </si>
  <si>
    <t>Risk (top-level definition)</t>
  </si>
  <si>
    <t>Define risk as the probable frequency and probable magnitude of future loss, derived by combining Loss Event Frequency (LEF) and Probable Loss Magnitude (PLM) - not a subjective high/medium/low label.</t>
  </si>
  <si>
    <t>T.2</t>
  </si>
  <si>
    <t>Loss Event Frequency (LEF)</t>
  </si>
  <si>
    <t>Define LEF as the probable frequency, within a given timeframe, that a threat agent will inflict harm upon an asset - derived from Threat Event Frequency and Vulnerability.</t>
  </si>
  <si>
    <t>T.3</t>
  </si>
  <si>
    <t>Threat Event Frequency (TEF)</t>
  </si>
  <si>
    <t>Define TEF as the probable frequency, within a given timeframe, that a threat agent will act against an asset - derived from Contact Frequency and Probability of Action.</t>
  </si>
  <si>
    <t>T.4</t>
  </si>
  <si>
    <t>Threat Capability (TCap)</t>
  </si>
  <si>
    <t>Define TCap as the probable level of force a threat agent is capable of applying against an asset (skill and resources).</t>
  </si>
  <si>
    <t>T.5</t>
  </si>
  <si>
    <t>Resistance Strength / Control Strength (RS/CS)</t>
  </si>
  <si>
    <t>Define Resistance Strength as the expected effectiveness of controls, measured against a baseline level of force, in preventing a threat agent from succeeding.</t>
  </si>
  <si>
    <t>T.6</t>
  </si>
  <si>
    <t>Vulnerability (Vuln)</t>
  </si>
  <si>
    <t>Derive Vulnerability as the probability that a threat event becomes a loss event, by comparing Threat Capability against Resistance Strength.</t>
  </si>
  <si>
    <t>T.7</t>
  </si>
  <si>
    <t>Probable Loss Magnitude (PLM) and the six forms of loss</t>
  </si>
  <si>
    <t>Estimate PLM by combining Primary Loss (direct impact to the organization) and Secondary Loss (impact from secondary stakeholder reactions, e.g. regulators, customers), categorised across the six forms of loss: productivity, response, re...</t>
  </si>
  <si>
    <t>T.8</t>
  </si>
  <si>
    <t>Secondary Loss Event Frequency and Magnitude</t>
  </si>
  <si>
    <t>Where secondary stakeholders are likely to react (e.g. regulatory notification, customer churn, litigation), estimate the probability of that secondary reaction and its own magnitude separately from primary loss.</t>
  </si>
  <si>
    <t>S2.1</t>
  </si>
  <si>
    <t>Stage 2 / Step 3 - Estimate Threat Event Frequency</t>
  </si>
  <si>
    <t>Estimate the probable frequency of threat-agent action against the asset, using calibrated estimation (ranges with confidence levels) rather than single-point guesses.</t>
  </si>
  <si>
    <t>S2.2</t>
  </si>
  <si>
    <t>Stage 2 / Step 4 - Estimate Threat Capability</t>
  </si>
  <si>
    <t>Estimate the probable skill and resource level of the threat community relative to a defined scale.</t>
  </si>
  <si>
    <t>S2.3</t>
  </si>
  <si>
    <t>Stage 2 / Step 5 - Estimate Control/Resistance Strength</t>
  </si>
  <si>
    <t>Estimate the strength of controls protecting the asset against the threat community in scope, calibrated against the same scale used for Threat Capability.</t>
  </si>
  <si>
    <t>S2.4</t>
  </si>
  <si>
    <t>Stage 2 / Step 6 - Derive Vulnerability</t>
  </si>
  <si>
    <t>Combine Threat Capability and Control Strength estimates (e.g. via a calibrated lookup table or Monte Carlo simulation) to derive the probability that a threat event becomes a loss event.</t>
  </si>
  <si>
    <t>S2.5</t>
  </si>
  <si>
    <t>Stage 2 / Step 7 - Derive Loss Event Frequency</t>
  </si>
  <si>
    <t>Combine Threat Event Frequency and Vulnerability to derive the probable frequency of actual loss events for the scenario.</t>
  </si>
  <si>
    <t>S3.2</t>
  </si>
  <si>
    <t>Stage 3 / Step 9 - Estimate probable loss magnitude</t>
  </si>
  <si>
    <t>Estimate the probable (most likely range of) loss magnitude for the scenario, considering primary and secondary loss across the six forms of loss (see T.7-T.8).</t>
  </si>
  <si>
    <t>S4.1</t>
  </si>
  <si>
    <t>Stage 4 / Step 10 - Derive and articulate risk</t>
  </si>
  <si>
    <t>Combine the Loss Event Frequency and Probable Loss Magnitude distributions (typically via Monte Carlo simulation) to produce a risk result - e.g. a loss exceedance curve or annualized loss expectancy range - and communicate it in busines...</t>
  </si>
  <si>
    <t>G.1</t>
  </si>
  <si>
    <t>Use calibrated estimation techniques</t>
  </si>
  <si>
    <t>Train analysts in calibrated estimation (e.g. the 90% confidence-interval calibration training common in FAIR practice) so subjective range estimates are statistically defensible rather than arbitrary.</t>
  </si>
  <si>
    <t>G.2</t>
  </si>
  <si>
    <t>Maintain a consistent FAIR taxonomy and glossary</t>
  </si>
  <si>
    <t>Ensure all analysts use the same FAIR definitions (per the FAIR taxonomy standard, e.g. Open FAIR O-RT) so risk scenarios are comparable across the organization and over time.</t>
  </si>
  <si>
    <t>Privacy-Specific Controls (collection, minimisation, transfer)  (16 items across 4 frameworks)</t>
  </si>
  <si>
    <t>Privacy-Specific Controls (collection, minimisation, transfer)</t>
  </si>
  <si>
    <t>Design around the interests of the individual, not just the organization</t>
  </si>
  <si>
    <t>Make user-centric choices the default in the design: strong privacy defaults, clear consent flows, and easy-to-find control over one's own data.</t>
  </si>
  <si>
    <t>Give individuals meaningful control over their own data</t>
  </si>
  <si>
    <t>Provide accessible mechanisms within the design for individuals to access, correct, export or delete their data and withdraw consent, without undue friction.</t>
  </si>
  <si>
    <t>Legal, Regulatory &amp; Compliance Obligations  (16 items across 10 frameworks)</t>
  </si>
  <si>
    <t>Legal, Regulatory &amp; Compliance Obligations</t>
  </si>
  <si>
    <t>Ensure secure retention and disposal</t>
  </si>
  <si>
    <t>Define and enforce retention periods per data category, and ensure secure, verifiable destruction or anonymisation of personal data once no longer needed.</t>
  </si>
  <si>
    <t>Art.50-53</t>
  </si>
  <si>
    <t>Supervisory powers and penalties</t>
  </si>
  <si>
    <t>Be aware competent authorities can order cessation of non-compliant conduct, impose administrative penalties (on the entity and responsible natural persons), and publish penalty/measure information (naming and shaming); some Member State...</t>
  </si>
  <si>
    <t>P.2</t>
  </si>
  <si>
    <t>Understand ARIA is not a certification or compliance programme</t>
  </si>
  <si>
    <t>Confirm internally that participation or alignment with ARIA does not constitute certification, regulatory compliance, or an official safety approval - it is a research evaluation environment whose results are published for the AI commun...</t>
  </si>
  <si>
    <t>G.6</t>
  </si>
  <si>
    <t>Validate the methodology periodically against the Open Group's requirements for risk assessment methodologies</t>
  </si>
  <si>
    <t>Periodically check that the organization's FAIR implementation still satisfies the general quality criteria for a sound risk methodology (clearly defined, internally consistent taxonomy; ability to express variability/uncertainty with ra...</t>
  </si>
  <si>
    <t>MITRE ATLAS Tactics (Adversary Attack Lifecycle)  (14 items across 1 frameworks)</t>
  </si>
  <si>
    <t>MITRE ATLAS Tactics (Adversary Attack Lifecycle)</t>
  </si>
  <si>
    <t>TA-01</t>
  </si>
  <si>
    <t>Reconnaissance</t>
  </si>
  <si>
    <t>Adversary gathers information about the target AI/ML system to plan the attack: system capabilities, system prompts, access controls, data sources, competitive/proprietary details.</t>
  </si>
  <si>
    <t>TA-02</t>
  </si>
  <si>
    <t>Resource Development</t>
  </si>
  <si>
    <t>Adversary creates, purchases or compromises resources (malicious prompts, tools, infrastructure) to support the attack - a preparatory stage before the target system is touched.</t>
  </si>
  <si>
    <t>TA-03</t>
  </si>
  <si>
    <t>Initial Access</t>
  </si>
  <si>
    <t>Adversary gains an initial foothold in the AI/ML system via entry vectors such as input validation weaknesses, prompt injection, SQL/shell injection, SSRF, or exposed debug endpoints.</t>
  </si>
  <si>
    <t>TA-04</t>
  </si>
  <si>
    <t>AI Model Access</t>
  </si>
  <si>
    <t>Adversary obtains some level of access to the AI model itself - ranging from full internal knowledge (white-box) to only inference-API access (black-box) - which shapes what further attacks are feasible.</t>
  </si>
  <si>
    <t>TA-07</t>
  </si>
  <si>
    <t>Privilege Escalation</t>
  </si>
  <si>
    <t>Adversary gains higher-level permissions than originally obtained, e.g. escalating from inference-API access to pipeline or infrastructure control.</t>
  </si>
  <si>
    <t>TA-08</t>
  </si>
  <si>
    <t>Defense Evasion</t>
  </si>
  <si>
    <t>Adversary avoids detection or conceals malicious actions within the AI system, making them appear as normal behaviour (e.g. subtle poisoning below detection thresholds).</t>
  </si>
  <si>
    <t>TA-09</t>
  </si>
  <si>
    <t>Credential Access</t>
  </si>
  <si>
    <t>Adversary steals account names, passwords, API keys or tokens used to access AI systems/services.</t>
  </si>
  <si>
    <t>TA-10</t>
  </si>
  <si>
    <t>Discovery</t>
  </si>
  <si>
    <t>Adversary maps the AI environment - available models, datasets, tools, APIs and their configuration - to plan further action.</t>
  </si>
  <si>
    <t>TA-11</t>
  </si>
  <si>
    <t>Lateral Movement</t>
  </si>
  <si>
    <t>Adversary moves from the initially compromised component to other parts of the AI system or connected environment (e.g. from an agent's tool access into a connected backend system).</t>
  </si>
  <si>
    <t>TA-12</t>
  </si>
  <si>
    <t>Collection</t>
  </si>
  <si>
    <t>Adversary gathers data of interest from the AI system - training data, user inputs, outputs, or embeddings - in preparation for exfiltration or further use.</t>
  </si>
  <si>
    <t>TA-13</t>
  </si>
  <si>
    <t>AI Attack Staging</t>
  </si>
  <si>
    <t>Adversary prepares and positions an AI-specific attack: poisoning inputs/training data, crafting adversarial examples, embedding backdoors, or inducing hallucinations for exploitation - the tactic with the most AI-native techniques and n...</t>
  </si>
  <si>
    <t>TA-14</t>
  </si>
  <si>
    <t>Command and Control</t>
  </si>
  <si>
    <t>Adversary establishes a channel to communicate with and control a compromised AI component remotely.</t>
  </si>
  <si>
    <t>TA-15</t>
  </si>
  <si>
    <t>Exfiltration</t>
  </si>
  <si>
    <t>Adversary steals data out of the AI system - PII, training data, proprietary prompts, or other sensitive information - including via encoded/obfuscated channels to evade data-loss prevention.</t>
  </si>
  <si>
    <t>TA-16</t>
  </si>
  <si>
    <t>Impact</t>
  </si>
  <si>
    <t>Adversary disrupts, degrades, destroys the AI system or manipulates its outputs - hijacking its purpose, generating harmful content, causing unauthorized actions, or taking excessive agency.</t>
  </si>
  <si>
    <t>Roles, Responsibilities &amp; Accountability  (13 items across 5 frameworks)</t>
  </si>
  <si>
    <t>Roles, Responsibilities &amp; Accountability</t>
  </si>
  <si>
    <t>Assigning relevant roles and authorities</t>
  </si>
  <si>
    <t>Assign clear roles and decision-making authority for privacy-by-design activities across the organization (e.g. product, engineering, legal, security).</t>
  </si>
  <si>
    <t>Accountability for providing privacy information</t>
  </si>
  <si>
    <t>Assign clear accountability within the organization for ensuring privacy information given to consumers is accurate, current and properly delivered.</t>
  </si>
  <si>
    <t>Data Governance, Quality &amp; Provenance (AI/ML data)  (13 items across 5 frameworks)</t>
  </si>
  <si>
    <t>Data Governance, Quality &amp; Provenance (AI/ML data)</t>
  </si>
  <si>
    <t>AI systems should function appropriately and not pose unreasonable safety/security risks throughout their lifecycle; traceability of datasets, processes and decisions; risk-based approach with continuous risk management (security, safety...</t>
  </si>
  <si>
    <t>AI.1</t>
  </si>
  <si>
    <t>Training and operational dataset provenance</t>
  </si>
  <si>
    <t>Apply ISO/IEC 5181's provenance techniques to datasets used for AI training, fine-tuning, RAG/retrieval and evaluation, recording source, collection method, licensing and every transformation the dataset underwent before use.</t>
  </si>
  <si>
    <t>AI.2</t>
  </si>
  <si>
    <t>Model lineage and versioning provenance</t>
  </si>
  <si>
    <t>Record the provenance of the AI model itself: base model(s) used, fine-tuning datasets and steps applied, version history, and who/what performed each step - distinct from but complementary to the data-level provenance in AI.1.</t>
  </si>
  <si>
    <t>AI.3</t>
  </si>
  <si>
    <t>Provenance for third-party and supply-chain AI components</t>
  </si>
  <si>
    <t>Extend provenance capture to third-party models, datasets, libraries and APIs incorporated into an AI system, consistent with the AI supply-chain controls already tracked elsewhere in this workbook (ISO 42001 A.10, Tab 1-2; EU AI Act val...</t>
  </si>
  <si>
    <t>Physical &amp; Environmental Security  (13 items across 2 frameworks)</t>
  </si>
  <si>
    <t>Physical &amp; Environmental Security</t>
  </si>
  <si>
    <t>Access Control &amp; Identity Management  (12 items across 5 frameworks)</t>
  </si>
  <si>
    <t>Access Control &amp; Identity Management</t>
  </si>
  <si>
    <t>Demonstrate that privacy and security reinforce each other</t>
  </si>
  <si>
    <t>Show, for security-relevant features, how the chosen design serves both security and privacy objectives together (e.g. access control that both secures data and limits who can see personal data).</t>
  </si>
  <si>
    <t>Key contractual provisions</t>
  </si>
  <si>
    <t>Ensure contracts for critical/important functions include mandatory provisions: service description, data locations, data protection, availability/security, audit and access rights, termination rights, reporting, data portability, and su...</t>
  </si>
  <si>
    <t>Improvement &amp; Corrective Action  (12 items across 5 frameworks)</t>
  </si>
  <si>
    <t>Improvement &amp; Corrective Action</t>
  </si>
  <si>
    <t>Establish, document, communicate and make available an AI policy appropriate to the organization's purpose, providing a framework for AI objectives, committing to applicable requirements and continual improvement; consistent with other p...</t>
  </si>
  <si>
    <t>ISO 27090 / OWASP AI Threat Catalogue (Poisoning, Evasion, Extraction, Injection)  (10 items across 3 frameworks)</t>
  </si>
  <si>
    <t>ISO 27090 / OWASP AI Threat Catalogue (Poisoning, Evasion, Extraction, Injection)</t>
  </si>
  <si>
    <t>Design and develop high-risk AI systems to achieve appropriate levels of accuracy, robustness and cybersecurity, perform consistently, and be resilient to errors, faults, inconsistencies, and attempts by unauthorised third parties to exp...</t>
  </si>
  <si>
    <t>Data poisoning</t>
  </si>
  <si>
    <t>Deliberate injection of false, mislabelled or manipulated data into training/fine-tuning data to corrupt the resulting model's behaviour.</t>
  </si>
  <si>
    <t>Model poisoning</t>
  </si>
  <si>
    <t>Deliberate manipulation of the model itself (e.g. during training, fine-tuning, or via a compromised supply-chain component) to embed a backdoor or degrade behaviour.</t>
  </si>
  <si>
    <t>Evasion</t>
  </si>
  <si>
    <t>Deliberately crafted training or prompt inputs designed to mislead the AI algorithm at inference time (adversarial examples, adversarial prompts).</t>
  </si>
  <si>
    <t>Membership inference</t>
  </si>
  <si>
    <t>Techniques to determine whether a specific data point was part of a model's training data, potentially revealing sensitive information about individuals in the training set.</t>
  </si>
  <si>
    <t>Model inversion</t>
  </si>
  <si>
    <t>Techniques to reconstruct or infer characteristics of training data points from a model's outputs or parameters, potentially recovering sensitive underlying data.</t>
  </si>
  <si>
    <t>Model stealing (extraction)</t>
  </si>
  <si>
    <t>Theft of the valuable intellectual property embodied in a trained model - the model itself, its training data, and its inputs/prompts - typically via systematic querying.</t>
  </si>
  <si>
    <t>Prompt injection and output injection</t>
  </si>
  <si>
    <t>Downstream attacks exploiting vulnerabilities in operational AI systems: injecting malicious instructions via prompts, or injecting malicious content via the model's output into systems that consume it.</t>
  </si>
  <si>
    <t>Operational Resilience &amp; ICT Third-Party Risk (DORA)  (10 items across 1 frameworks)</t>
  </si>
  <si>
    <t>Operational Resilience &amp; ICT Third-Party Risk (DORA)</t>
  </si>
  <si>
    <t>Governance and organisation</t>
  </si>
  <si>
    <t>The management body bears ultimate responsibility for ICT risk: defines risk appetite, approves ICT security policies and the ICT risk management framework, approves ICT budget/staffing/training, approves major ICT projects, ensures a cr...</t>
  </si>
  <si>
    <t>ICT risk management framework</t>
  </si>
  <si>
    <t>Maintain a robust, well-documented ICT risk management framework (strategies, policies, procedures, protocols, tools) that minimises the impact of ICT risk; document and review the function periodically, after major incidents, and at lea...</t>
  </si>
  <si>
    <t>ICT systems, protocols and tools</t>
  </si>
  <si>
    <t>Use ICT systems/protocols/tools that are appropriate to operations, reliable under stress/peak load, technologically resilient, and kept up to date with security standards (patched/maintained).</t>
  </si>
  <si>
    <t>Backup policies and procedures</t>
  </si>
  <si>
    <t>Maintain backup policies specifying frequency, type and location/scope of backups; keep restoration systems separate from the primary system and activatable without undue delay; test restorability so restore times align with RTOs; cloud-...</t>
  </si>
  <si>
    <t>Simplified ICT risk management framework</t>
  </si>
  <si>
    <t>Small and less complex entities may apply a simplified ICT RMF covering key risk-management elements, simplified testing and simplified reporting, per the applicable regulatory technical standards.</t>
  </si>
  <si>
    <t>Advanced testing based on threat-led penetration testing (TLPT)</t>
  </si>
  <si>
    <t>Entities meeting applicability criteria perform TLPT at least every three years, on live production systems, covering critical/important functions, using cyber threat intelligence to develop realistic attack scenarios; results are mutual...</t>
  </si>
  <si>
    <t>Requirements for TLPT testers</t>
  </si>
  <si>
    <t>Testers must demonstrate methodology capability and technical expertise, hold relevant professional certifications, and have no conflict of interest with the tested entity.</t>
  </si>
  <si>
    <t>General principles for managing ICT third-party risk</t>
  </si>
  <si>
    <t>Adopt, review and update an ICT third-party risk policy; record all ICT service arrangements in a Register of Information (submitted at least annually to the competent authority); perform pre-contractual due diligence for critical/import...</t>
  </si>
  <si>
    <t>Preliminary assessment of ICT concentration risk at entity level</t>
  </si>
  <si>
    <t>Assess, before entering a new ICT service arrangement, the entity-level concentration risk, including the risk that entire ICT services could become unavailable due to reliance on a single provider.</t>
  </si>
  <si>
    <t>Designation of critical ICT third-party service providers (CTPPs)</t>
  </si>
  <si>
    <t>Be aware that the European Supervisory Authorities designate certain ICT third-party providers as 'critical' based on defined criteria; non-EU critical providers must designate an EU legal representative.</t>
  </si>
  <si>
    <t>AI System Classification, Scope &amp; Categorization  (9 items across 5 frameworks)</t>
  </si>
  <si>
    <t>AI System Classification, Scope &amp; Categorization</t>
  </si>
  <si>
    <t>Check whether the AI system falls under a listed high-risk use case (biometrics, critical infrastructure, education, employment, essential services incl. access to insurance/credit, law enforcement, migration/asylum/border, justice/democ...</t>
  </si>
  <si>
    <t>P.1</t>
  </si>
  <si>
    <t>Understand ARIA's purpose and scope</t>
  </si>
  <si>
    <t>Recognize ARIA (Assessing Risks and Impacts of AI) as a NIST AI Innovation Lab testing, evaluation, validation and verification (TEVV) research program that measures how AI systems behave in realistic, real-world conditions - not only in...</t>
  </si>
  <si>
    <t>Data Provenance &amp; Lineage  (9 items across 2 frameworks)</t>
  </si>
  <si>
    <t>Data Provenance &amp; Lineage</t>
  </si>
  <si>
    <t>ISO/IEC 5181 - identification</t>
  </si>
  <si>
    <t>Title: 'Information security, cybersecurity and privacy protection - Data provenance'. Developed by ISO/IEC JTC 1/SC 27 (Information security, cybersecurity and privacy protection), ICS 35.030. Status at time of writing: International St...</t>
  </si>
  <si>
    <t>Official scope / abstract</t>
  </si>
  <si>
    <t>Verified scope: 'This document provides guidelines, methodology and techniques for deriving securely information denoted to as provenance metadata about data assets from multiple sources, intermediaries or users.' - i.e. how to capture, ...</t>
  </si>
  <si>
    <t>Provenance concepts and terminology</t>
  </si>
  <si>
    <t>Establish and apply consistent definitions of provenance-related terms (provenance, provenance metadata, data asset, intermediary, actor, chain of custody) so provenance records are comparable and interoperable.</t>
  </si>
  <si>
    <t>Provenance metadata model</t>
  </si>
  <si>
    <t>Define what provenance metadata is captured for a data asset: originating source, each actor/intermediary that touched the data, timestamps, transformations/processing applied, and the context of each step.</t>
  </si>
  <si>
    <t>Secure derivation and recording of provenance</t>
  </si>
  <si>
    <t>Apply security techniques (e.g. cryptographic signing, hashing, tamper-evident logging) so provenance metadata itself can be trusted and is not subject to undetected alteration.</t>
  </si>
  <si>
    <t>Provenance across multiple sources, intermediaries and users</t>
  </si>
  <si>
    <t>Capture and preserve provenance information as a data asset moves across multiple organizations, systems or individuals, maintaining an unbroken, attributable chain of custody.</t>
  </si>
  <si>
    <t>Provenance assurance and trust levels</t>
  </si>
  <si>
    <t>Assess and communicate the level of assurance/trust that can be placed in a given provenance record, based on how it was derived and secured (e.g. self-asserted vs cryptographically verified).</t>
  </si>
  <si>
    <t>AI.5</t>
  </si>
  <si>
    <t>Integration with existing AI governance clauses</t>
  </si>
  <si>
    <t>Use ISO/IEC 5181 as the detailed 'how' for provenance behind the 'what' already required elsewhere: ISO 42001 A.7.5 (data provenance), EU AI Act Art.10 (data governance), GDPR Art.5(1)(f)/30 (integrity/confidentiality principle, records ...</t>
  </si>
  <si>
    <t>Cryptography, Masking &amp; Data Loss Prevention  (9 items across 4 frameworks)</t>
  </si>
  <si>
    <t>Cryptography, Masking &amp; Data Loss Prevention</t>
  </si>
  <si>
    <t>Implement appropriate technical and organisational measures to ensure a level of security appropriate to risk: pseudonymisation/encryption; ongoing confidentiality, integrity, availability and resilience of systems; ability to restore av...</t>
  </si>
  <si>
    <t>Apply privacy-enhancing technologies (PETs) where they fit the design</t>
  </si>
  <si>
    <t>Evaluate and apply techniques such as pseudonymisation, anonymisation, differential privacy, encryption, or federated/on-device learning where they can reduce privacy risk without breaking functionality.</t>
  </si>
  <si>
    <t>Protect personal data from collection to secure destruction</t>
  </si>
  <si>
    <t>Apply appropriate security controls (access control, encryption, monitoring) across the entire data lifecycle: collection, transmission, storage, use, sharing, archiving, and secure deletion/destruction.</t>
  </si>
  <si>
    <t>Asset Inventory &amp; Information Classification  (9 items across 2 frameworks)</t>
  </si>
  <si>
    <t>Asset Inventory &amp; Information Classification</t>
  </si>
  <si>
    <t>Human Oversight &amp; Responsible Use of AI  (9 items across 8 frameworks)</t>
  </si>
  <si>
    <t>Human Oversight &amp; Responsible Use of AI</t>
  </si>
  <si>
    <t>Respect the rule of law, human rights and democratic values throughout the AI system lifecycle: non-discrimination, equality, freedom, dignity, autonomy, privacy and data protection, diversity, fairness, social justice and labour rights;...</t>
  </si>
  <si>
    <t>Conducting a privacy risk assessment</t>
  </si>
  <si>
    <t>Conduct a privacy risk assessment for the consumer product considering the consumer's perspective, context and reasonably foreseeable uses/misuses.</t>
  </si>
  <si>
    <t>MT.1</t>
  </si>
  <si>
    <t>Prepare systems/documentation to support model-testing claims</t>
  </si>
  <si>
    <t>Ensure claimed capabilities, intended use and performance characteristics of the AI system/model are documented clearly enough to be verified in a model-testing evaluation.</t>
  </si>
  <si>
    <t>Business Continuity, Resilience &amp; Availability  (8 items across 2 frameworks)</t>
  </si>
  <si>
    <t>Business Continuity, Resilience &amp; Availability</t>
  </si>
  <si>
    <t>Response and recovery</t>
  </si>
  <si>
    <t>Implement an ICT business continuity policy (activation triggers, recovery priorities, interim procedures, assessment/decision procedures); conduct a business impact analysis with RTOs/RPOs for critical functions; implement response/reco...</t>
  </si>
  <si>
    <t>Network &amp; Infrastructure Security  (7 items across 2 frameworks)</t>
  </si>
  <si>
    <t>Network &amp; Infrastructure Security</t>
  </si>
  <si>
    <t>GenAI/LLM Attack Surface (OWASP)  (6 items across 1 frameworks)</t>
  </si>
  <si>
    <t>GenAI/LLM Attack Surface (OWASP)</t>
  </si>
  <si>
    <t>Privacy by Design Principles (Proactive, Default, Embedded, Lifecycle)  (5 items across 3 frameworks)</t>
  </si>
  <si>
    <t>Privacy by Design Principles (Proactive, Default, Embedded, Lifecycle)</t>
  </si>
  <si>
    <t>Limit collection/processing to what is adequate, relevant and limited to purpose (minimisation); de-identify/delete PII when no longer needed; ensure PII disposal at end of retention; design temporary files and system-generated data to p...</t>
  </si>
  <si>
    <t>Extend security requirements to third parties in the data chain</t>
  </si>
  <si>
    <t>Ensure any processor, sub-processor or partner handling the personal data as part of the design maintains equivalent end-to-end security.</t>
  </si>
  <si>
    <t>Developing capability to determine consumer privacy preferences</t>
  </si>
  <si>
    <t>Provide a means for consumers to set, view and change their privacy preferences, and ensure the product respects those preferences throughout use.</t>
  </si>
  <si>
    <t>Designing human computer interface (HCI) for privacy</t>
  </si>
  <si>
    <t>Design the user interface so privacy information and controls are discoverable, understandable and usable, avoiding dark patterns that discourage privacy-protective choices.</t>
  </si>
  <si>
    <t>Framework-Specific (no direct cross-framework equivalent)  (50 items across 12 frameworks)</t>
  </si>
  <si>
    <t>Framework-Specific (no direct cross-framework equivalent)</t>
  </si>
  <si>
    <t>Do not place on the market, put into service or use AI systems for prohibited practices: subliminal/manipulative techniques causing harm, exploitation of vulnerabilities, social scoring, real-time remote biometric ID in public for law en...</t>
  </si>
  <si>
    <t>AI actors should proactively engage in responsible stewardship of trustworthy AI for beneficial outcomes: augmenting human capabilities, advancing inclusion of underrepresented populations, reducing inequalities, and protecting the envir...</t>
  </si>
  <si>
    <t>Collect and retain only what is necessary by default</t>
  </si>
  <si>
    <t>Ensure default settings require no action by the individual to protect their privacy: minimal data collection, shortest necessary retention, and narrowest default sharing.</t>
  </si>
  <si>
    <t>Purpose limitation is enforced by default</t>
  </si>
  <si>
    <t>Configure systems so data collected for one purpose is not automatically available for a different, incompatible purpose without a fresh assessment.</t>
  </si>
  <si>
    <t>Treat privacy as a core design requirement, not an add-on</t>
  </si>
  <si>
    <t>Include privacy requirements in the same requirements/specification documents as functional and security requirements, from the first design iteration.</t>
  </si>
  <si>
    <t>Avoid false trade-offs between privacy and functionality/security</t>
  </si>
  <si>
    <t>Seek design solutions that achieve both the business/functional goal and strong privacy protection, rather than accepting privacy as the item traded away under time or cost pressure.</t>
  </si>
  <si>
    <t>Establishing multi-functional responsibilities</t>
  </si>
  <si>
    <t>Ensure privacy responsibilities are coordinated across the multiple functions involved in a consumer product's lifecycle (design, engineering, marketing, support, security).</t>
  </si>
  <si>
    <t>Developing privacy knowledge, skill and ability</t>
  </si>
  <si>
    <t>Build the privacy knowledge, skills and abilities of staff involved in designing, building and operating the consumer product.</t>
  </si>
  <si>
    <t>Ensuring knowledge of privacy controls</t>
  </si>
  <si>
    <t>Ensure relevant staff understand the specific privacy controls built into the product and how to operate/maintain them correctly.</t>
  </si>
  <si>
    <t>Provision of privacy information</t>
  </si>
  <si>
    <t>Provide consumers with clear, accurate, accessible privacy information about the product (what is collected, why, how used, retained and shared).</t>
  </si>
  <si>
    <t>Designing privacy controls</t>
  </si>
  <si>
    <t>Design specific privacy controls (technical and procedural) that meet the documented requirements from 6.4, appropriate to the product and its risks.</t>
  </si>
  <si>
    <t>Implementing privacy controls</t>
  </si>
  <si>
    <t>Implement the designed privacy controls in the product as built, ensuring the as-built product matches the as-designed privacy controls.</t>
  </si>
  <si>
    <t>Designing privacy control testing</t>
  </si>
  <si>
    <t>Design and perform testing of privacy controls to verify they function as intended before and after release.</t>
  </si>
  <si>
    <t>Managing the transition of privacy controls</t>
  </si>
  <si>
    <t>Manage changes to privacy controls over time (updates, replacements, migrations) so protection is maintained through transitions.</t>
  </si>
  <si>
    <t>Designing privacy controls for retirement and end of use</t>
  </si>
  <si>
    <t>Design privacy controls for the product's retirement/end-of-use stage: secure deletion or return of consumer PII, and winding down of data processing when the product is discontinued or the consumer stops using it.</t>
  </si>
  <si>
    <t>TR-2</t>
  </si>
  <si>
    <t>Illustrative use cases and analysis</t>
  </si>
  <si>
    <t>A Technical Report (not a certifiable requirements document) providing worked, illustrative use cases and analysis to help engineers and practitioners interpret and apply the Part 1 requirements above to real consumer-product scenarios.</t>
  </si>
  <si>
    <t>Determine applicability: DORA applies to a broad list of EU financial entities (credit institutions, payment/e-money institutions, investment firms, crypto-asset service providers, CCPs/CSDs/trading venues, insurers, pension institutions...</t>
  </si>
  <si>
    <t>Proportionality</t>
  </si>
  <si>
    <t>Apply DORA requirements proportionate to size, risk profile, and nature/scale/complexity of services; smaller/less-complex entities may use the simplified framework (Art.16).</t>
  </si>
  <si>
    <t>Identification</t>
  </si>
  <si>
    <t>Identify and classify ICT-supported functions, ICT and information assets, and all sources of ICT risk; maintain an updated ICT asset inventory, map interdependencies, and identify single points of failure.</t>
  </si>
  <si>
    <t>General requirements for resilience testing</t>
  </si>
  <si>
    <t>Conduct a testing programme for critical ICT systems at least annually, performed by independent internal or external parties.</t>
  </si>
  <si>
    <t>Art.64</t>
  </si>
  <si>
    <t>Application date</t>
  </si>
  <si>
    <t>DORA entered into force 16 January 2023 and has applied from 17 January 2025.</t>
  </si>
  <si>
    <t>P.3</t>
  </si>
  <si>
    <t>Map ARIA to the NIST AI RMF and GenAI Profile already in use</t>
  </si>
  <si>
    <t>Confirm how ARIA builds on and operationalizes the NIST AI RMF (Tab 5) and the risks identified in the GenAI Profile (NIST AI 600-1), so ARIA engagement reuses existing AI RMF risk-management work rather than duplicating it.</t>
  </si>
  <si>
    <t>FT.1</t>
  </si>
  <si>
    <t>Plan for human-AI interaction evaluation under realistic conditions</t>
  </si>
  <si>
    <t>Where feasible, evaluate the AI system under conditions resembling real-world use by diverse users/testers, not only synthetic benchmark prompts, to surface context-dependent risks.</t>
  </si>
  <si>
    <t>M.2</t>
  </si>
  <si>
    <t>Track the 'secure and resilient' CoRIx dimension specifically</t>
  </si>
  <si>
    <t>Within the broader CoRIx scoring, give explicit attention to the secure-and-resilient dimension as the one most directly tied to cybersecurity outcomes, and ensure it is measured with the same rigour as validity/reliability.</t>
  </si>
  <si>
    <t>D.1</t>
  </si>
  <si>
    <t>Follow ARIA's data and evaluation-rules requirements if participating</t>
  </si>
  <si>
    <t>If submitting a system/application for ARIA evaluation, confirm the organization can comply with NIST's stated evaluation rules and data-handling expectations (e.g. data collected is used for research purposes per the published ARIA Data...</t>
  </si>
  <si>
    <t>S1.1</t>
  </si>
  <si>
    <t>Stage 1 / Step 1 - Identify the asset at risk</t>
  </si>
  <si>
    <t>Clearly identify and scope the specific asset (data, system, process) that is the subject of the risk scenario, at a level of granularity that supports meaningful analysis.</t>
  </si>
  <si>
    <t>S1.2</t>
  </si>
  <si>
    <t>Stage 1 / Step 2 - Identify the threat community</t>
  </si>
  <si>
    <t>Identify and characterise the threat community under consideration (e.g. external cybercriminals, malicious insiders, non-malicious/human error, nation-state actors) relevant to the asset and scenario.</t>
  </si>
  <si>
    <t>S3.1</t>
  </si>
  <si>
    <t>Stage 3 / Step 8 - Estimate worst-case loss</t>
  </si>
  <si>
    <t>Estimate the worst reasonably foreseeable loss magnitude for the scenario, as a bounding reference point.</t>
  </si>
  <si>
    <t>G.3</t>
  </si>
  <si>
    <t>Use a repeatable analysis process with peer review</t>
  </si>
  <si>
    <t>Apply the four-stage/ten-step process consistently, with peer review of estimates and model outputs before they are reported to decision-makers.</t>
  </si>
  <si>
    <t>G.4</t>
  </si>
  <si>
    <t>Select and maintain appropriate tooling</t>
  </si>
  <si>
    <t>Use a FAIR-conformant tool (e.g. the Open Group's Open FAIR Risk Analysis tool, FAIR-U, RiskLens, or an equivalent Monte Carlo-capable model) rather than ad hoc spreadsheets lacking distribution-based simulation.</t>
  </si>
  <si>
    <t>Provenance record availability and retention</t>
  </si>
  <si>
    <t>Maintain provenance records in a way that keeps them available and retrievable for as long as the data asset (or its derivatives, e.g. a trained AI model) remains in use.</t>
  </si>
  <si>
    <t>ISO/IEC 27090:2026 - identification</t>
  </si>
  <si>
    <t>Title: 'Cybersecurity - Artificial Intelligence - Addressing security threats and compromises to AI systems'. First edition, published October 2026 by ISO/IEC JTC 1/SC 27/WG 4 (development started 2022). Draws on ISO/IEC 22989 (AI concep...</t>
  </si>
  <si>
    <t>Official scope and framing</t>
  </si>
  <si>
    <t>Guides organizations on addressing security threats to AI systems: discusses organisational consequences of security threats compromising AI systems at various life-cycle points, and explains how to detect and mitigate them. Scope is thr...</t>
  </si>
  <si>
    <t>Consider interactions between mitigations and threats</t>
  </si>
  <si>
    <t>Assess how a mitigation applied for one threat may interact with (help, hinder, or be neutral to) other threats and other already-applied mitigations, avoiding a false sense of security from mitigations that only address a single threat ...</t>
  </si>
  <si>
    <t>AI-specific versions of conventional attacks</t>
  </si>
  <si>
    <t>Recognize that many conventional cybersecurity attack patterns (e.g. supply-chain compromise, denial of service, credential theft) have AI-specific variants, and apply conventional security knowledge adapted to the AI context rather than...</t>
  </si>
  <si>
    <t>TA-05</t>
  </si>
  <si>
    <t>Execution</t>
  </si>
  <si>
    <t>Adversary runs malicious code or logic within the AI system's environment (e.g. via a compromised pipeline, notebook, or tool invocation).</t>
  </si>
  <si>
    <t>Domain Crosswalk - Where Fulfilling One Control Set Addresses Several Frameworks</t>
  </si>
  <si>
    <t>What this domain covers</t>
  </si>
  <si>
    <t>Consolidation guidance (implement once, address many)</t>
  </si>
  <si>
    <t>Frameworks touched</t>
  </si>
  <si>
    <t>Item count</t>
  </si>
  <si>
    <t>Items (Framework: Ref - Title)</t>
  </si>
  <si>
    <t>Screening, contracts, confidentiality, competence, AI literacy and security/privacy awareness training.</t>
  </si>
  <si>
    <t>One HR-security and training programme (screening, NDAs, role-based awareness incl. AI literacy) satisfies ISO 27001 Annex A.6, ISO 42001 7.2/7.3, EU AI Act Art.4, and ISO 27701/31700/17021 competence items.</t>
  </si>
  <si>
    <t>ISO/IEC 27001 (13); ISO/IEC 42001 (7); ISO/IEC 17021-1 (6); ISO/IEC 27090 (4); ISO/IEC 27701 (3); EU AI Act (2); OECD AI Principles (2); NIST AI RMF (2); Privacy by Design (Cavoukian) (2); ISO/IEC 31700-1/-2 (2); ISO/IEC 42005 (1); ISO/IEC 5181 (1); MITRE ATLAS (1)</t>
  </si>
  <si>
    <t>ISO/IEC 42001: 4.3 - Determining the scope of the AI management system
ISO/IEC 42001: 5.3 - Roles, responsibilities and authorities
ISO/IEC 42001: 7.2 - Competence
ISO/IEC 42001: 7.3 - Awareness
ISO/IEC 42001: 7.5.1 - Documented information - General
ISO/IEC 42001: 9.2.1 - Internal audit - General
ISO/IEC 42001: A.6.2.3 - Documentation of AI system design and development
EU AI Act: Art.4 - AI literacy
EU AI Act: Art.22 - Authorised representatives
OECD AI Principles: 2.5 - International co-operation for trustworthy AI
OECD AI Principles: 3.1 - General-purpose and generative AI risks
NIST AI RMF: Govern 2 - Accountability structures are in place so appropriate teams and individuals are empowered, responsible and trained for mapping, measuring and managing AI risks.
NIST AI RMF: Govern 3 - Workforce diversity, equity, inclusion and accessibility processes are prioritized, and organizational risk management supported by a diverse team.
ISO/IEC 42005: Annex C-D - Example impact categories and considerations
ISO/IEC 27001: 7.2 - Competence
ISO/IEC 27001: 7.3 - Awareness
ISO/IEC 27001: 7.5.1 - Documented information - General
ISO/IEC 27001: 9.2.1 - Internal audit - General
ISO/IEC 27001: 5.4 - Management responsibilities
ISO/IEC 27001: 5.36 - Compliance with policies, rules and standards for information security
ISO/IEC 27001: 6.1 - Screening
ISO/IEC 27001: 6.2 - Terms and conditions of employment
ISO/IEC 27001: 6.3 - Information security awareness, education and training
ISO/IEC 27001: 6.4 - Disciplinary process
ISO/IEC 27001: 6.6 - Confidentiality or non-disclosure agreements
ISO/IEC 27001: 6.7 - Remote working
ISO/IEC 27001: 8.7 - Protection against malware
ISO/IEC 17021-1: 4.1 - General
ISO/IEC 17021-1: 4.3 - Competence
ISO/IEC 17021-1: 4.8 - Risk-based approach
ISO/IEC 17021-1: 7.2 - Personnel involved in certification activities
ISO/IEC 17021-1: 7.4 - Personnel records
ISO/IEC 17021-1: 8.2 - Certification documents
ISO/IEC 27701: 5.5 - Support (privacy extension)
ISO/IEC 27701: 6.P - People controls - privacy guidance
ISO/IEC 27701: Annex C-E - Mapping annexes (ISO/IEC 29100, GDPR, ISO/IEC 27018 and 29151)
Privacy by Design (Cavoukian): 2.3 - Opt-in, not opt-out, for anything beyond the necessary minimum
Privacy by Design (Cavoukian): 7.3 - Communicate in clear, understandable language
ISO/IEC 31700-1/-2: 5.5 - Communicating to diverse consumer population
ISO/IEC 31700-1/-2: 7.2 - Integrating design/operation of privacy controls into product development and management lifecycles
ISO/IEC 5181: AI.4 - Provenance of AI-generated content (related but distinct standard)
ISO/IEC 27090: 5.1 - Apply established information security practice as the foundation
ISO/IEC 27090: 6.8 - Further threats per the standard's catalogue (12+ scenarios)
ISO/IEC 27090: 7.1 - Apply threat-specific detection and mitigation guidance
ISO/IEC 27090: Annex C - Federated machine learning
MITRE ATLAS: TA-06 - Persistence</t>
  </si>
  <si>
    <t>Top-management commitment, policy set (security/privacy/AI), scope, context, resources, communication and general management-system plumbing.</t>
  </si>
  <si>
    <t>Write one integrated policy set and one management-system manual/context statement covering security, privacy and AI; reuse it (with framework-specific annexes) instead of writing separate policies per standard.</t>
  </si>
  <si>
    <t>ISO/IEC 42001 (13); ISO/IEC 27001 (13); ISO/IEC 17021-1 (4); OECD AI Principles (2); NIST AI RMF (2); ISO/IEC 42005 (2); ISO/IEC 27701 (2); Privacy by Design (Cavoukian) (2); GDPR (1); DORA (1)</t>
  </si>
  <si>
    <t>ISO/IEC 42001: 4.2 - Understanding the needs and expectations of interested parties
ISO/IEC 42001: 4.4 - AI management system
ISO/IEC 42001: 5.1 - Leadership and commitment
ISO/IEC 42001: 6.2 - AI objectives and planning to achieve them
ISO/IEC 42001: 6.3 - Planning of changes
ISO/IEC 42001: 7.1 - Resources
ISO/IEC 42001: 7.4 - Communication
ISO/IEC 42001: A.2.2 - AI policy
ISO/IEC 42001: A.2.3 - Alignment with other organizational policies
ISO/IEC 42001: A.2.4 - Review of the AI policy
ISO/IEC 42001: A.8.3 - External reporting
ISO/IEC 42001: A.8.5 - Information for interested parties
ISO/IEC 42001: A.9.3 - Objectives for responsible use of AI system
OECD AI Principles: 2.3 - Shaping an enabling interoperable governance and policy environment
OECD AI Principles: 3.2 - Environmental footprint
NIST AI RMF: Govern 4 - Organizational teams are committed to a culture that considers and communicates AI risk.
NIST AI RMF: Govern 5 - Processes are in place for robust engagement with relevant AI actors (incl. external stakeholders and end users).
ISO/IEC 42005: 5.4 - Planning the assessment
ISO/IEC 42005: 5.11 - Integration with AI risk management and the AI management system
ISO/IEC 27001: 4.2 - Understanding needs and expectations of interested parties
ISO/IEC 27001: 5.1 - Leadership and commitment
ISO/IEC 27001: 5.3 - Organizational roles, responsibilities and authorities
ISO/IEC 27001: 6.2 - Information security objectives and planning to achieve them
ISO/IEC 27001: 6.3 - Planning of changes
ISO/IEC 27001: 7.1 - Resources
ISO/IEC 27001: 7.4 - Communication
ISO/IEC 27001: 7.5.2 - Creating and updating
ISO/IEC 27001: 5.1 - Policies for information security
ISO/IEC 27001: 5.5 - Contact with authorities
ISO/IEC 27001: 5.6 - Contact with special interest groups
ISO/IEC 27001: 5.7 - Threat intelligence
ISO/IEC 27001: 5.8 - Information security in project management
ISO/IEC 17021-1: 5.2 - Management of impartiality
ISO/IEC 17021-1: 6.1 - Organizational structure and top management
ISO/IEC 17021-1: 8.4 - Confidentiality
ISO/IEC 17021-1: 9.9 - Client records
GDPR: Art.38 - Position of the DPO
ISO/IEC 27701: 5.2 - Context of the organization (privacy extension)
ISO/IEC 27701: 5.3 - Leadership (privacy extension)
Privacy by Design (Cavoukian): 1.2 - Make privacy a stated organizational commitment
Privacy by Design (Cavoukian): 6.2 - Make privacy practices visible to users and stakeholders
DORA: Art.45 - Cyber threat information and intelligence sharing</t>
  </si>
  <si>
    <t>Secure SDLC, architecture, coding, change management and adversarial/robustness testing.</t>
  </si>
  <si>
    <t>One secure-development lifecycle with security gates and adversarial/red-team testing satisfies ISO 27001 8.25-8.34, ISO 42001 A.6.2.x, EU AI Act Art.15, NIST Measure 2, and directly mitigates most OWASP LLM Top 10 and ISO/IEC 27090 threats.</t>
  </si>
  <si>
    <t>ISO/IEC 27001 (13); NIST ARIA (5); ISO/IEC 42001 (3); NIST AI RMF (3); DORA (2); MITRE ATLAS (2); EU AI Act (1)</t>
  </si>
  <si>
    <t>ISO/IEC 42001: A.6.2.4 - AI system verification and validation
ISO/IEC 42001: A.4.6 - Human resources
ISO/IEC 42001: A.6.1.2 - Objectives for responsible development of AI system
EU AI Act: Art.55 - Obligations for providers of GPAI models with systemic risk
NIST AI RMF: Measure 1 - Appropriate methods and metrics are identified and applied to AI risks, and effectiveness of metrics evaluated.
NIST AI RMF: Measure 2 - AI systems are evaluated for trustworthy characteristics: valid/reliable, safe, secure/resilient, accountable/transparent, explainable/interpretable, privacy-enhanced, fair with harmful bias managed.
NIST AI RMF: Measure 4 - Feedback about efficacy of measurement is gathered and assessed.
ISO/IEC 27001: 5.22 - Monitoring, review and change management of supplier services
ISO/IEC 27001: 8.4 - Access to source code
ISO/IEC 27001: 8.8 - Management of technical vulnerabilities
ISO/IEC 27001: 8.18 - Use of privileged utility programs
ISO/IEC 27001: 8.19 - Installation of software on operational systems
ISO/IEC 27001: 8.25 - Secure development life cycle
ISO/IEC 27001: 8.26 - Application security requirements
ISO/IEC 27001: 8.27 - Secure system architecture and engineering principles
ISO/IEC 27001: 8.28 - Secure coding
ISO/IEC 27001: 8.29 - Security testing in development and acceptance
ISO/IEC 27001: 8.31 - Separation of development, test and production environments
ISO/IEC 27001: 8.32 - Change management
ISO/IEC 27001: 8.33 - Test information
DORA: Art.9 - Protection and prevention
DORA: Art.25 - Testing of ICT tools and systems
NIST ARIA: MT.2 - Align model testing with the 'secure and resilient' trustworthy characteristic
NIST ARIA: RT.1 - Establish or engage a red-teaming capability aligned to ARIA's approach
NIST ARIA: RT.2 - Scope red-teaming scenarios against known AI risk taxonomies
NIST ARIA: RT.3 - Capture and remediate red-team findings
NIST ARIA: M.1 - Understand CoRIx as ARIA's composite measurement instrument
MITRE ATLAS: ID - MITRE ATLAS - identification
MITRE ATLAS: Use - How this framework is used (not a compliance checklist)</t>
  </si>
  <si>
    <t>Assessing impact of an AI system on individuals, groups and society across its lifecycle.</t>
  </si>
  <si>
    <t>Run one AI System Impact Assessment (per ISO/IEC 42005) per AI system; its output satisfies ISO 42001 6.1.4/8.4, EU AI Act FRIA-adjacent needs, GDPR DPIA overlap, and NIST Map 5.</t>
  </si>
  <si>
    <t>ISO/IEC 42005 (12); ISO/IEC 42001 (6); EU AI Act (2); NIST AI RMF (2); NIST ARIA (2); GDPR (1); ISO/IEC 27701 (1); Privacy by Design (Cavoukian) (1)</t>
  </si>
  <si>
    <t>ISO/IEC 42001: 6.1.4 - AI system impact assessment
ISO/IEC 42001: 8.4 - AI system impact assessment
ISO/IEC 42001: A.5.2 - AI system impact assessment process
ISO/IEC 42001: A.5.3 - Documentation of AI system impact assessments
ISO/IEC 42001: A.5.4 - Assessing AI system impact on individuals or groups of individuals
ISO/IEC 42001: A.5.5 - Assessing societal impacts of AI systems
EU AI Act: Art.26 - Obligations of deployers of high-risk AI systems
EU AI Act: Art.27 - Fundamental rights impact assessment
NIST AI RMF: Map 5 - Impacts to individuals, groups, communities, organizations and society are characterized/understood.
NIST AI RMF: Manage 4 - Risk treatments, incl. response and recovery, and communication plans for the identified and measured AI risks are documented and monitored regularly.
ISO/IEC 42005: 4 - Terms, definitions and overview of AI system impact assessment (AISIA)
ISO/IEC 42005: 5.1 - Purpose and scope of the AISIA process
ISO/IEC 42005: 5.2 - Roles and responsibilities
ISO/IEC 42005: 5.3 - Triggers and timing across the AI system lifecycle
ISO/IEC 42005: 5.6 - Identifying affected stakeholders
ISO/IEC 42005: 5.7 - Identifying potential impacts
ISO/IEC 42005: 5.9 - Determining and implementing mitigation actions
ISO/IEC 42005: 5.10 - Review, monitoring and reassessment
ISO/IEC 42005: 6.2 - Content of the impact assessment record
ISO/IEC 42005: 6.4 - Communication of results
ISO/IEC 42005: Annex A - Guidance for use with ISO/IEC 42001
ISO/IEC 42005: Annex E - AI system impact assessment template
GDPR: Art.35 - Data protection impact assessment (DPIA)
ISO/IEC 27701: 7.2 - Conditions for collection and processing
Privacy by Design (Cavoukian): 3.2 - Conduct a privacy/data protection impact assessment for the design
NIST ARIA: FT.2 - Assess both positive and negative impacts arising from regular use
NIST ARIA: D.2 - Treat ARIA results as research input, not a compliance record</t>
  </si>
  <si>
    <t>Generating, protecting and reviewing logs; continuous monitoring for anomalies.</t>
  </si>
  <si>
    <t>One centralized logging/SIEM capability with defined retention satisfies ISO 27001 8.15-8.17, ISO 42001 A.6.2.8, EU AI Act Art.12/19/26, NIST Measure 3, and gives you the detection layer ATLAS's tactics assume exists.</t>
  </si>
  <si>
    <t>EU AI Act (6); ISO/IEC 27001 (6); ISO/IEC 42001 (4); ISO/IEC 31700-1/-2 (2); OECD AI Principles (1); NIST AI RMF (1); ISO/IEC 17021-1 (1); GDPR (1); ISO/IEC 27701 (1); DORA (1); ISO/IEC 27090 (1)</t>
  </si>
  <si>
    <t>ISO/IEC 42001: A.6.2.6 - AI system operation and monitoring
ISO/IEC 42001: A.6.2.8 - AI system recording of event logs
ISO/IEC 42001: 9.1 - Monitoring, measurement, analysis and evaluation
ISO/IEC 42001: 9.3.2 - Management review inputs
EU AI Act: Art.12 - Record-keeping (logging)
EU AI Act: Art.17 - Quality management system
EU AI Act: Art.19 - Automatically generated logs
EU AI Act: Art.21 - Cooperation with competent authorities
EU AI Act: Art.72 - Post-market monitoring by providers
EU AI Act: Annex IV - Technical documentation content
OECD AI Principles: 1.5 - Accountability
NIST AI RMF: Measure 3 - Mechanisms for tracking identified AI risks over time are in place.
ISO/IEC 27001: 9.1 - Monitoring, measurement, analysis and evaluation
ISO/IEC 27001: 9.3.2 - Management review inputs
ISO/IEC 27001: 7.4 - Physical security monitoring
ISO/IEC 27001: 8.15 - Logging
ISO/IEC 27001: 8.16 - Monitoring activities
ISO/IEC 27001: 8.17 - Clock synchronization
ISO/IEC 17021-1: 7.1 - Competence of personnel
GDPR: Art.37 - Designation of the data protection officer
ISO/IEC 27701: 5.7 - Performance evaluation (privacy extension)
ISO/IEC 31700-1/-2: 6.5 - Monitoring and updating risk assessment
ISO/IEC 31700-1/-2: 7.7 - Managing the operation of privacy controls
DORA: Art.10 - Detection
ISO/IEC 27090: 5.2 - Address governance, management and procedural dimensions</t>
  </si>
  <si>
    <t>Internal audits, management reviews, and the certification/surveillance process itself.</t>
  </si>
  <si>
    <t>One internal-audit programme and one management-review cadence covering all management systems together satisfies ISO 27001/42001/27701 9.2/9.3 in a single combined audit, and is what ISO 17021-1 Clause 9 examines.</t>
  </si>
  <si>
    <t>ISO/IEC 17021-1 (12); ISO/IEC 42001 (3); ISO/IEC 27001 (3); EU AI Act (2); Privacy by Design (Cavoukian) (1); ISO/IEC 31700-1/-2 (1)</t>
  </si>
  <si>
    <t>ISO/IEC 42001: 9.2.2 - Internal audit programme
ISO/IEC 42001: 9.3.1 - Management review - General
ISO/IEC 42001: 9.3.3 - Management review results
EU AI Act: Art.16 - Obligations of providers of high-risk AI systems
EU AI Act: Art.23 - Obligations of importers
ISO/IEC 27001: 9.2.2 - Internal audit programme
ISO/IEC 27001: 9.3.1 - Management review - General
ISO/IEC 27001: 5.35 - Independent review of information security
ISO/IEC 17021-1: 4.7 - Responsiveness to complaints
ISO/IEC 17021-1: 5.3 - Liability and financing
ISO/IEC 17021-1: 6.2 - Operational control
ISO/IEC 17021-1: 8.1 - Public information
ISO/IEC 17021-1: 9.1 - Pre-certification activities
ISO/IEC 17021-1: 9.2 - Planning audits
ISO/IEC 17021-1: 9.5 - Certification decision
ISO/IEC 17021-1: 9.6 - Maintaining certification
ISO/IEC 17021-1: 9.7 - Appeals
ISO/IEC 17021-1: 9.8 - Complaints
ISO/IEC 17021-1: 10.2.5 - Option A - Management review
ISO/IEC 17021-1: 10.2.6 - Option A - Internal audits
Privacy by Design (Cavoukian): 6.3 - Provide accountability mechanisms for complaints and redress
ISO/IEC 31700-1/-2: 5.4 - Responding to consumer inquiries and complaints</t>
  </si>
  <si>
    <t>Detecting, responding to and reporting security/privacy/AI incidents.</t>
  </si>
  <si>
    <t>One incident response plan with regulator/stakeholder notification workflows (timelines tuned per framework) covers ISO 27001 5.24-5.27, GDPR Art.33/34, EU AI Act Art.73, DORA's 4-hour/72-hour/1-month timeline, ISO 42001/27701 incident items, and NIST Manage 4.</t>
  </si>
  <si>
    <t>DORA (6); ISO/IEC 27001 (5); EU AI Act (3); Privacy by Design (Cavoukian) (2); ISO/IEC 31700-1/-2 (2); ISO/IEC 42001 (1); ISO/IEC 17021-1 (1); GDPR (1)</t>
  </si>
  <si>
    <t>ISO/IEC 42001: A.8.4 - Communication of incidents
EU AI Act: Art.3 - Definitions
EU AI Act: Art.73 - Reporting of serious incidents
EU AI Act: Art.99 - Penalties
ISO/IEC 27001: 5.24 - Information security incident management planning and preparation
ISO/IEC 27001: 5.25 - Assessment and decision on information security events
ISO/IEC 27001: 5.26 - Response to information security incidents
ISO/IEC 27001: 5.27 - Learning from information security incidents
ISO/IEC 27001: 6.8 - Information security event reporting
ISO/IEC 17021-1: 8.5 - Information exchange between a CB and its clients
GDPR: Art.33 - Notification of a personal data breach to the supervisory authority
Privacy by Design (Cavoukian): 1.1 - Anticipate and prevent privacy-invasive events before they happen
Privacy by Design (Cavoukian): 1.3 - Learn from past incidents to prevent recurrence
ISO/IEC 31700-1/-2: 5.6 - Prepare data breach communications
ISO/IEC 31700-1/-2: 7.8 - Preparing for and managing a privacy breach
DORA: Art.13 - Learning and evolving
DORA: Art.14 - Communication
DORA: Art.17 - ICT-related incident management process
DORA: Art.18 - Classification of ICT-related incidents and cyber threats
DORA: Art.19 - Reporting of major ICT-related incidents
DORA: Art.23 - Specific rules for payment-related major incidents</t>
  </si>
  <si>
    <t>Controlling documented information, technical documentation and configuration/records over time.</t>
  </si>
  <si>
    <t>One document-control and configuration-management system (versioning, approval workflow, retention) satisfies the documented-information clauses across every management-system framework in this workbook.</t>
  </si>
  <si>
    <t>ISO/IEC 27001 (8); ISO/IEC 42001 (5); ISO/IEC 17021-1 (3); EU AI Act (2); ISO/IEC 42005 (1); GDPR (1); ISO/IEC 31700-1/-2 (1)</t>
  </si>
  <si>
    <t>ISO/IEC 42001: 6.1.2 - AI risk assessment
ISO/IEC 42001: 7.5.3 - Control of documented information
ISO/IEC 42001: 7.5.2 - Creating and updating documented information
ISO/IEC 42001: A.6.2.7 - AI system technical documentation
ISO/IEC 42001: A.8.2 - System documentation and information for users
EU AI Act: Art.11 - Technical documentation
EU AI Act: Art.18 - Documentation keeping
ISO/IEC 42005: 6.3 - Retention, version control and integrity of records
ISO/IEC 27001: 6.1.2 - Information security risk assessment
ISO/IEC 27001: 7.5.3 - Control of documented information
ISO/IEC 27001: 9.3.3 - Management review results
ISO/IEC 27001: 5.11 - Return of assets
ISO/IEC 27001: 5.28 - Collection of evidence
ISO/IEC 27001: 5.33 - Protection of records
ISO/IEC 27001: 5.37 - Documented operating procedures
ISO/IEC 27001: 8.9 - Configuration management
ISO/IEC 17021-1: 9.3 - Initial certification audit (Stage 1 and Stage 2)
ISO/IEC 17021-1: 10.2.3 - Option A - Control of documents
ISO/IEC 17021-1: 10.2.4 - Option A - Control of records
GDPR: Art.30 - Records of processing activities
ISO/IEC 31700-1/-2: 4.9 - Documentation and information management</t>
  </si>
  <si>
    <t>Providing information to and honouring the rights of individuals/PII principals/deployers.</t>
  </si>
  <si>
    <t>One rights-request handling process (access, rectification, erasure, objection, portability) plus one transparency-notice template covers GDPR Chapter III, EU AI Act Art.13/50, ISO 27701 7.3/8.3 and OECD 1.3.</t>
  </si>
  <si>
    <t>GDPR (12); ISO/IEC 27701 (4); EU AI Act (2); OECD AI Principles (1); ISO/IEC 31700-1/-2 (1)</t>
  </si>
  <si>
    <t>EU AI Act: Art.13 - Transparency and provision of information to deployers
EU AI Act: Art.50 - Transparency obligations for certain AI systems
OECD AI Principles: 1.3 - Transparency and explainability
GDPR: Art.2-3 - Material and territorial scope
GDPR: Art.12-14 - Transparency and information to data subjects
GDPR: Art.15 - Right of access
GDPR: Art.16 - Right to rectification
GDPR: Art.17 - Right to erasure ('right to be forgotten')
GDPR: Art.18 - Right to restriction of processing
GDPR: Art.19 - Notification obligation re rectification/erasure/restriction
GDPR: Art.20 - Right to data portability
GDPR: Art.21 - Right to object
GDPR: Art.22 - Automated individual decision-making, including profiling
GDPR: Art.34 - Communication of a personal data breach to the data subject
GDPR: Art.82 - Right to compensation and liability
ISO/IEC 27701: 5.4 - Planning (privacy extension) - privacy risk assessment
ISO/IEC 27701: 7.3 - Obligations to PII principals
ISO/IEC 27701: 8.3 - Obligations to PII principals
ISO/IEC 27701: Annex A - PIMS-specific reference controls for PII controllers
ISO/IEC 31700-1/-2: 4.2 - Designing capabilities to enable consumers to enforce their privacy rights</t>
  </si>
  <si>
    <t>Supplier/vendor risk management, contracts, ICT and AI supply-chain assurance.</t>
  </si>
  <si>
    <t>One supplier risk-management programme (due diligence, security clauses, SBOM/MLBOM, ongoing monitoring) covers ISO 27001 5.19-5.22, ISO 42001 A.10.x, EU AI Act value-chain provisions, GDPR Art.28, DORA Art.28-30, and NIST Govern 6/Map 4/Manage 3.</t>
  </si>
  <si>
    <t>ISO/IEC 27001 (5); ISO/IEC 42001 (3); NIST AI RMF (3); ISO/IEC 31700-1/-2 (2); EU AI Act (1); ISO/IEC 17021-1 (1); GDPR (1); ISO/IEC 27701 (1); Privacy by Design (Cavoukian) (1); DORA (1)</t>
  </si>
  <si>
    <t>ISO/IEC 42001: A.10.2 - Allocating responsibilities
ISO/IEC 42001: A.10.3 - Suppliers
ISO/IEC 42001: 8.1 - Operational planning and control
EU AI Act: Art.25 - Responsibilities along the AI value chain
NIST AI RMF: Govern 6 - Policies and procedures are in place to address AI risks and benefits arising from third-party software/data/systems and other supply-chain issues.
NIST AI RMF: Map 4 - Risks and benefits are mapped for all components of the AI system, incl. third-party software, data and other supply-chain elements.
NIST AI RMF: Manage 3 - AI risks and benefits from third-party entities are managed.
ISO/IEC 27001: 8.1 - Operational planning and control
ISO/IEC 27001: 5.19 - Information security in supplier relationships
ISO/IEC 27001: 5.20 - Addressing information security within supplier agreements
ISO/IEC 27001: 5.21 - Managing information security in the ICT supply chain
ISO/IEC 27001: 8.30 - Outsourced development
ISO/IEC 17021-1: 7.5 - Outsourcing
GDPR: Art.28 - Processor
ISO/IEC 27701: 6.O - Organizational controls - privacy guidance
Privacy by Design (Cavoukian): 6.1 - Design components and operations to be independently verifiable
ISO/IEC 31700-1/-2: 6.3 - Assessing privacy capabilities of third parties
ISO/IEC 31700-1/-2: 7.9 - Operating privacy controls for dependent processes/products throughout the PII lifecycle
DORA: Art.42 - Liability of financial entities</t>
  </si>
  <si>
    <t>The core risk identification, analysis, evaluation and treatment process (security, privacy and AI risk).</t>
  </si>
  <si>
    <t>Run one risk assessment methodology and one risk register that tags each risk as security/privacy/AI so a single treatment plan and SoA feed every framework's risk clauses.</t>
  </si>
  <si>
    <t>ISO/IEC 27001 (4); ISO/IEC 42001 (3); NIST AI RMF (2); ISO/IEC 42005 (2); ISO/IEC 27701 (2); ISO/IEC 31700-1/-2 (2); EU AI Act (1); FAIR Risk Methodology (1); ISO/IEC 27090 (1)</t>
  </si>
  <si>
    <t>ISO/IEC 42001: 8.2 - AI risk assessment
ISO/IEC 42001: 8.3 - AI risk treatment
ISO/IEC 42001: 6.1.1 - Actions to address risks and opportunities - General
EU AI Act: Art.9 - Risk management system
NIST AI RMF: Manage 1 - AI risks based on assessments from the Map and Measure functions are prioritized, responded to and managed.
NIST AI RMF: Manage 2 - Strategies to maximize AI benefits and minimize negative impacts are planned, prepared, implemented, documented and informed by input from relevant AI actors.
ISO/IEC 42005: 5.8 - Analysing and evaluating impacts
ISO/IEC 42005: Annex B - Guidance for use with ISO/IEC 23894
ISO/IEC 27001: 6.1.1 - Actions to address risks and opportunities - General
ISO/IEC 27001: 6.1.3 - Information security risk treatment
ISO/IEC 27001: 8.2 - Information security risk assessment
ISO/IEC 27001: 8.3 - Information security risk treatment
ISO/IEC 27701: 5.6 - Operation (privacy extension)
ISO/IEC 27701: Annex B - PIMS-specific reference controls for PII processors
ISO/IEC 31700-1/-2: 6.4 - Establishing and documenting requirements for privacy controls
ISO/IEC 31700-1/-2: 6.6 - Including privacy risks in cybersecurity resilience design
FAIR Risk Methodology: G.5 - Integrate FAIR outputs into the existing risk register and decision processes
ISO/IEC 27090: Annex A - Mapping attacks to AI system life cycle and assets</t>
  </si>
  <si>
    <t>Quantifying risk scenarios in frequency and financial-loss-magnitude terms, on top of the qualitative risk register above.</t>
  </si>
  <si>
    <t>Apply FAIR to your highest-priority qualitative risks (from the Risk Assessment &amp; Treatment domain) to add a quantified, Monte Carlo-based loss-exceedance view for board/executive reporting - don't run it as a separate, disconnected exercise.</t>
  </si>
  <si>
    <t>FAIR Risk Methodology (17)</t>
  </si>
  <si>
    <t>FAIR Risk Methodology: T.1 - Risk (top-level definition)
FAIR Risk Methodology: T.2 - Loss Event Frequency (LEF)
FAIR Risk Methodology: T.3 - Threat Event Frequency (TEF)
FAIR Risk Methodology: T.4 - Threat Capability (TCap)
FAIR Risk Methodology: T.5 - Resistance Strength / Control Strength (RS/CS)
FAIR Risk Methodology: T.6 - Vulnerability (Vuln)
FAIR Risk Methodology: T.7 - Probable Loss Magnitude (PLM) and the six forms of loss
FAIR Risk Methodology: T.8 - Secondary Loss Event Frequency and Magnitude
FAIR Risk Methodology: S2.1 - Stage 2 / Step 3 - Estimate Threat Event Frequency
FAIR Risk Methodology: S2.2 - Stage 2 / Step 4 - Estimate Threat Capability
FAIR Risk Methodology: S2.3 - Stage 2 / Step 5 - Estimate Control/Resistance Strength
FAIR Risk Methodology: S2.4 - Stage 2 / Step 6 - Derive Vulnerability
FAIR Risk Methodology: S2.5 - Stage 2 / Step 7 - Derive Loss Event Frequency
FAIR Risk Methodology: S3.2 - Stage 3 / Step 9 - Estimate probable loss magnitude
FAIR Risk Methodology: S4.1 - Stage 4 / Step 10 - Derive and articulate risk
FAIR Risk Methodology: G.1 - Use calibrated estimation techniques
FAIR Risk Methodology: G.2 - Maintain a consistent FAIR taxonomy and glossary</t>
  </si>
  <si>
    <t>Lawful basis, consent, minimisation, special-category handling, cross-border transfer safeguards.</t>
  </si>
  <si>
    <t>A single privacy programme (lawful-basis register, minimisation-by-design, transfer mechanism library) satisfies GDPR Chapter II/V and the equivalent ISO 27701 Clause 7/8 items.</t>
  </si>
  <si>
    <t>GDPR (10); ISO/IEC 27701 (3); Privacy by Design (Cavoukian) (2); ISO/IEC 27001 (1)</t>
  </si>
  <si>
    <t>ISO/IEC 27001: 5.34 - Privacy and protection of PII
GDPR: Art.4 - Definitions
GDPR: Art.6 - Lawfulness of processing
GDPR: Art.7 - Conditions for consent
GDPR: Art.8 - Conditions for children's consent
GDPR: Art.9 - Special categories of personal data
GDPR: Art.10 - Processing of criminal conviction/offence data
GDPR: Art.25 - Data protection by design and by default
GDPR: Art.44-45 - General principle for transfers / adequacy decisions
GDPR: Art.46 - Transfers subject to appropriate safeguards
GDPR: Art.49 - Derogations for specific situations
ISO/IEC 27701: 7.5 - PII sharing, transfer and disclosure
ISO/IEC 27701: 8.2 - Conditions for collection and processing
ISO/IEC 27701: 8.5 - PII sharing, transfer and disclosure
Privacy by Design (Cavoukian): 7.1 - Design around the interests of the individual, not just the organization
Privacy by Design (Cavoukian): 7.2 - Give individuals meaningful control over their own data</t>
  </si>
  <si>
    <t>Tracking applicable laws/regulations/contracts and the penalties for non-compliance.</t>
  </si>
  <si>
    <t>One legal/regulatory register (mapped to GDPR, EU AI Act, DORA, PDPPL, sector rules) feeds the 'legal requirements' clause present in almost every framework.</t>
  </si>
  <si>
    <t>ISO/IEC 27001 (3); GDPR (3); ISO/IEC 42001 (2); NIST AI RMF (2); EU AI Act (1); ISO/IEC 17021-1 (1); Privacy by Design (Cavoukian) (1); DORA (1); NIST ARIA (1); FAIR Risk Methodology (1)</t>
  </si>
  <si>
    <t>ISO/IEC 42001: 6.1.3 - AI risk treatment
ISO/IEC 42001: A.7.2 - Data for development and enhancement of AI system
EU AI Act: Art.8 - Compliance with the requirements
NIST AI RMF: Govern 1 - Policies, processes, procedures and practices for mapping, measuring and managing AI risk are established, documented and effectively implemented, reflecting organizational risk tolerance.
NIST AI RMF: Map 1 - Context is established and understood: intended purpose, business value, risk tolerances, requirements, and impacted stakeholders identified.
ISO/IEC 27001: 5.31 - Legal, statutory, regulatory and contractual requirements
ISO/IEC 27001: 5.32 - Intellectual property rights
ISO/IEC 27001: 6.5 - Responsibilities after termination or change of employment
ISO/IEC 17021-1: 5.1 - Legal and contractual matters
GDPR: Art.31 - Cooperation with the supervisory authority
GDPR: Art.36 - Prior consultation
GDPR: Art.83 - Administrative fines
Privacy by Design (Cavoukian): 5.2 - Ensure secure retention and disposal
DORA: Art.50-53 - Supervisory powers and penalties
NIST ARIA: P.2 - Understand ARIA is not a certification or compliance programme
FAIR Risk Methodology: G.6 - Validate the methodology periodically against the Open Group's requirements for risk assessment methodologies</t>
  </si>
  <si>
    <t>The full adversary attack-chain perspective - reconnaissance through impact - specific to AI/ML systems, with real-world case studies behind each technique.</t>
  </si>
  <si>
    <t>Use ATLAS to scope and sequence red-team exercises and SOC detection use cases across the whole attack lifecycle, rather than testing only the 'AI Attack Staging' and 'Impact' tactics that overlap with OWASP/ISO 27090 - the earlier-lifecycle tactics (recon, initial access, persistence) need their own detection coverage too.</t>
  </si>
  <si>
    <t>MITRE ATLAS (14)</t>
  </si>
  <si>
    <t>MITRE ATLAS: TA-01 - Reconnaissance
MITRE ATLAS: TA-02 - Resource Development
MITRE ATLAS: TA-03 - Initial Access
MITRE ATLAS: TA-04 - AI Model Access
MITRE ATLAS: TA-07 - Privilege Escalation
MITRE ATLAS: TA-08 - Defense Evasion
MITRE ATLAS: TA-09 - Credential Access
MITRE ATLAS: TA-10 - Discovery
MITRE ATLAS: TA-11 - Lateral Movement
MITRE ATLAS: TA-12 - Collection
MITRE ATLAS: TA-13 - AI Attack Staging
MITRE ATLAS: TA-14 - Command and Control
MITRE ATLAS: TA-15 - Exfiltration
MITRE ATLAS: TA-16 - Impact</t>
  </si>
  <si>
    <t>Defining and assigning who owns security, privacy, AI risk and each management system.</t>
  </si>
  <si>
    <t>Build one RACI covering ISMS/AIMS/PIMS/DPO/AI-governance roles, including the EU AI Act's Provider/Deployer/Importer/Distributor roles; most frameworks accept the same role assignments with minor scope notes.</t>
  </si>
  <si>
    <t>GDPR (5); ISO/IEC 42001 (4); ISO/IEC 31700-1/-2 (2); ISO/IEC 42005 (1); ISO/IEC 27001 (1)</t>
  </si>
  <si>
    <t>ISO/IEC 42001: A.6.1.3 - Processes for responsible AI system design and development
ISO/IEC 42001: A.3.2 - AI roles and responsibilities
ISO/IEC 42001: A.3.3 - Reporting of concerns
ISO/IEC 42001: A.10.4 - Customers
ISO/IEC 42005: 6.1 - General documentation requirements
ISO/IEC 27001: 5.2 - Information security roles and responsibilities
GDPR: Art.5(2) - Accountability
GDPR: Art.24 - Responsibility of the controller
GDPR: Art.26 - Joint controllers
GDPR: Art.27 - Representatives of controllers/processors not established in the Union
GDPR: Art.39 - Tasks of the DPO
ISO/IEC 31700-1/-2: 4.5 - Assigning relevant roles and authorities
ISO/IEC 31700-1/-2: 5.3 - Accountability for providing privacy information</t>
  </si>
  <si>
    <t>Managing training/validation/operational data: sourcing, quality, lineage and preparation.</t>
  </si>
  <si>
    <t>One data governance procedure with dataset documentation and lineage tracking covers ISO 42001 A.7.x, EU AI Act Art.10, and NIST Map/Measure data-related items.</t>
  </si>
  <si>
    <t>ISO/IEC 42001 (4); ISO/IEC 5181 (3); EU AI Act (2); OECD AI Principles (2); OWASP LLM Top 10 (2)</t>
  </si>
  <si>
    <t>ISO/IEC 42001: A.7.4 - Quality of data for AI systems
ISO/IEC 42001: A.4.3 - Data resources
ISO/IEC 42001: A.7.3 - Acquisition of data
ISO/IEC 42001: A.7.6 - Data preparation
EU AI Act: Art.10 - Data and data governance
EU AI Act: Art.53 - Obligations for providers of GPAI models
OECD AI Principles: 1.4 - Robustness, security and safety
OECD AI Principles: 3.3 - Intellectual property rights
OWASP LLM Top 10: LLM02:2025 - Sensitive Information Disclosure
OWASP LLM Top 10: LLM03:2025 - Supply Chain
ISO/IEC 5181: AI.1 - Training and operational dataset provenance
ISO/IEC 5181: AI.2 - Model lineage and versioning provenance
ISO/IEC 5181: AI.3 - Provenance for third-party and supply-chain AI components</t>
  </si>
  <si>
    <t>Physical access, environmental protection, equipment and media handling.</t>
  </si>
  <si>
    <t>One physical security standard applied across all facilities/data centres covers all ISO 27001 Annex A.7 items in one pass.</t>
  </si>
  <si>
    <t>ISO/IEC 27001 (12); ISO/IEC 27701 (1)</t>
  </si>
  <si>
    <t>ISO/IEC 27001: 7.1 - Physical security perimeters
ISO/IEC 27001: 7.2 - Physical entry
ISO/IEC 27001: 7.3 - Securing offices, rooms and facilities
ISO/IEC 27001: 7.5 - Protecting against physical and environmental threats
ISO/IEC 27001: 7.6 - Working in secure areas
ISO/IEC 27001: 7.7 - Clear desk and clear screen
ISO/IEC 27001: 7.8 - Equipment siting and protection
ISO/IEC 27001: 7.9 - Security of assets off-premises
ISO/IEC 27001: 7.10 - Storage media
ISO/IEC 27001: 7.12 - Cabling security
ISO/IEC 27001: 7.13 - Equipment maintenance
ISO/IEC 27001: 7.14 - Secure disposal or re-use of equipment
ISO/IEC 27701: 6.Ph - Physical controls - privacy guidance</t>
  </si>
  <si>
    <t>Identity lifecycle, authentication, authorization, privileged access and segregation of duties.</t>
  </si>
  <si>
    <t>One IAM/PAM programme (incl. MFA and periodic access review) satisfies ISO 27001 5.15-5.18/8.2-8.5 and the access-control expectations referenced across AI and privacy frameworks.</t>
  </si>
  <si>
    <t>ISO/IEC 27001 (8); ISO/IEC 42005 (1); GDPR (1); Privacy by Design (Cavoukian) (1); DORA (1)</t>
  </si>
  <si>
    <t>ISO/IEC 42005: 6.5 - Confidentiality and access control of assessment records
ISO/IEC 27001: 5.3 - Segregation of duties
ISO/IEC 27001: 5.15 - Access control
ISO/IEC 27001: 5.16 - Identity management
ISO/IEC 27001: 5.17 - Authentication information
ISO/IEC 27001: 5.18 - Access rights
ISO/IEC 27001: 8.2 - Privileged access rights
ISO/IEC 27001: 8.3 - Information access restriction
ISO/IEC 27001: 8.5 - Secure authentication
GDPR: Art.29 - Processing under the authority of the controller or processor
Privacy by Design (Cavoukian): 4.2 - Demonstrate that privacy and security reinforce each other
DORA: Art.30 - Key contractual provisions</t>
  </si>
  <si>
    <t>Nonconformity handling, root-cause analysis and continual improvement.</t>
  </si>
  <si>
    <t>One CAPA (corrective and preventive action) process, applied across security, privacy and AI findings, satisfies every framework's improvement clause.</t>
  </si>
  <si>
    <t>ISO/IEC 42001 (3); ISO/IEC 27001 (3); ISO/IEC 17021-1 (3); EU AI Act (2); ISO/IEC 27701 (1)</t>
  </si>
  <si>
    <t>ISO/IEC 42001: 5.2 - AI policy
ISO/IEC 42001: 10.1 - Continual improvement
ISO/IEC 42001: 10.2 - Nonconformity and corrective action
EU AI Act: Art.20 - Corrective actions and duty of information
EU AI Act: Art.24 - Obligations of distributors
ISO/IEC 27001: 5.2 - Policy
ISO/IEC 27001: 10.1 - Continual improvement
ISO/IEC 27001: 10.2 - Nonconformity and corrective action
ISO/IEC 17021-1: 9.4 - Conducting audits
ISO/IEC 17021-1: 10.2.7 - Option A - Corrective actions
ISO/IEC 17021-1: 10.2.8 - Option A - Preventive actions
ISO/IEC 27701: 5.8 - Improvement (privacy extension)</t>
  </si>
  <si>
    <t>The named AI-specific attack types common to both ISO/IEC 27090 and OWASP's LLM Top 10: data/model poisoning, evasion, membership inference, model inversion, model stealing, prompt/output injection.</t>
  </si>
  <si>
    <t>Build one adversarial-testing programme (red team + automated adversarial test suite) that works through this exact threat list once; it satisfies ISO/IEC 27090 Clause 6, OWASP LLM01-LLM09, and feeds directly into MITRE ATLAS's AI Attack Staging tactic test scope.</t>
  </si>
  <si>
    <t>ISO/IEC 27090 (7); OWASP LLM Top 10 (2); EU AI Act (1)</t>
  </si>
  <si>
    <t>EU AI Act: Art.15 - Accuracy, robustness and cybersecurity
OWASP LLM Top 10: LLM04:2025 - Data and Model Poisoning
OWASP LLM Top 10: LLM08:2025 - Vector and Embedding Weaknesses
ISO/IEC 27090: 6.1 - Data poisoning
ISO/IEC 27090: 6.2 - Model poisoning
ISO/IEC 27090: 6.3 - Evasion
ISO/IEC 27090: 6.4 - Membership inference
ISO/IEC 27090: 6.5 - Model inversion
ISO/IEC 27090: 6.6 - Model stealing (extraction)
ISO/IEC 27090: 6.7 - Prompt injection and output injection</t>
  </si>
  <si>
    <t>ICT risk management, resilience testing (incl. TLPT), incident classification/reporting timelines, and ICT third-party/concentration risk specific to EU financial entities.</t>
  </si>
  <si>
    <t>If any AI system or its infrastructure falls under DORA's scope (EU-regulated financial entity, or a provider to one), fold its ICT risk management framework, backup/resilience testing and third-party Register of Information into the same risk, BCP and supplier-management processes already built for ISO 27001/42001 - don't run a parallel DORA-only programme.</t>
  </si>
  <si>
    <t>DORA (10)</t>
  </si>
  <si>
    <t>DORA: Art.5 - Governance and organisation
DORA: Art.6 - ICT risk management framework
DORA: Art.7 - ICT systems, protocols and tools
DORA: Art.12 - Backup policies and procedures
DORA: Art.16 - Simplified ICT risk management framework
DORA: Art.26 - Advanced testing based on threat-led penetration testing (TLPT)
DORA: Art.27 - Requirements for TLPT testers
DORA: Art.28 - General principles for managing ICT third-party risk
DORA: Art.29 - Preliminary assessment of ICT concentration risk at entity level
DORA: Art.31 - Designation of critical ICT third-party service providers (CTPPs)</t>
  </si>
  <si>
    <t>Determining what an AI system is, its intended use, risk tier and applicability of each framework.</t>
  </si>
  <si>
    <t>Maintain one AI system inventory with fields for EU AI Act risk tier, ISO 42001/27001 scope and NIST categorization - classify once, reuse everywhere.</t>
  </si>
  <si>
    <t>EU AI Act (3); NIST AI RMF (2); ISO/IEC 27001 (2); ISO/IEC 42001 (1); NIST ARIA (1)</t>
  </si>
  <si>
    <t>ISO/IEC 42001: 4.1 - Understanding the organization and its context
EU AI Act: Art.6 - Classification rules for high-risk AI systems
EU AI Act: Art.7 - Amendments to Annex III
EU AI Act: Annex III - High-risk AI system use cases
NIST AI RMF: Map 2 - Categorization of the AI system is performed, incl. specific tasks and methods used to implement them.
NIST AI RMF: Map 3 - AI capabilities, targeted usage, goals and expected benefits/costs are understood compared with appropriate benchmarks.
ISO/IEC 27001: 4.1 - Understanding the organization and its context
ISO/IEC 27001: 4.3 - Determining the scope of the ISMS
NIST ARIA: P.1 - Understand ARIA's purpose and scope</t>
  </si>
  <si>
    <t>Securely deriving and recording provenance metadata - chain of custody, transformations, actors - for data assets including AI training data and model lineage.</t>
  </si>
  <si>
    <t>Use the Data Governance Register (Tab 19) as the working log, following ISO/IEC 5181's secure-derivation techniques, to produce the provenance evidence that ISO 42001 A.7.5 and EU AI Act Art.10 require.</t>
  </si>
  <si>
    <t>ISO/IEC 5181 (8); ISO/IEC 42001 (1)</t>
  </si>
  <si>
    <t>ISO/IEC 42001: A.7.5 - Data provenance
ISO/IEC 5181: ID - ISO/IEC 5181 - identification
ISO/IEC 5181: Scope - Official scope / abstract
ISO/IEC 5181: T.1 - Provenance concepts and terminology
ISO/IEC 5181: T.2 - Provenance metadata model
ISO/IEC 5181: T.3 - Secure derivation and recording of provenance
ISO/IEC 5181: T.4 - Provenance across multiple sources, intermediaries and users
ISO/IEC 5181: T.5 - Provenance assurance and trust levels
ISO/IEC 5181: AI.5 - Integration with existing AI governance clauses</t>
  </si>
  <si>
    <t>Encryption, key management, data masking, DLP and controlled deletion.</t>
  </si>
  <si>
    <t>One cryptography and data-protection standard (encryption at rest/in transit, masking rules, deletion schedule) covers ISO 27001 8.10-8.12/8.24, GDPR Art.32, and ISO 42001/27701 equivalents.</t>
  </si>
  <si>
    <t>ISO/IEC 27001 (4); GDPR (2); Privacy by Design (Cavoukian) (2); ISO/IEC 27701 (1)</t>
  </si>
  <si>
    <t>ISO/IEC 27001: 8.10 - Information deletion
ISO/IEC 27001: 8.11 - Data masking
ISO/IEC 27001: 8.12 - Data leakage prevention
ISO/IEC 27001: 8.24 - Use of cryptography
GDPR: Art.5(1) - Principles relating to processing
GDPR: Art.32 - Security of processing
ISO/IEC 27701: 6.T - Technological controls - privacy guidance
Privacy by Design (Cavoukian): 3.3 - Apply privacy-enhancing technologies (PETs) where they fit the design
Privacy by Design (Cavoukian): 5.1 - Protect personal data from collection to secure destruction</t>
  </si>
  <si>
    <t>Knowing what information/AI/data/tooling assets exist and classifying them.</t>
  </si>
  <si>
    <t>One asset and AI-resource inventory with a classification scheme underpins nearly every other domain - do this early, once, and reference it from all frameworks.</t>
  </si>
  <si>
    <t>ISO/IEC 42001 (5); ISO/IEC 27001 (4)</t>
  </si>
  <si>
    <t>ISO/IEC 42001: A.4.4 - Tooling resources
ISO/IEC 42001: A.4.5 - System and computing resources
ISO/IEC 42001: A.6.2.2 - AI system requirements and specification
ISO/IEC 42001: A.6.2.5 - AI system deployment
ISO/IEC 42001: A.4.2 - Resource documentation
ISO/IEC 27001: 5.9 - Inventory of information and other associated assets
ISO/IEC 27001: 5.12 - Classification of information
ISO/IEC 27001: 5.13 - Labelling of information
ISO/IEC 27001: 5.14 - Information transfer</t>
  </si>
  <si>
    <t>Ensuring humans can understand, monitor, intervene in and appropriately use AI systems.</t>
  </si>
  <si>
    <t>One human-oversight design standard and acceptable-use policy for AI covers EU AI Act Art.14/9.4, ISO 42001 A.9.x, and OECD 1.2/1.3.</t>
  </si>
  <si>
    <t>ISO/IEC 42001 (2); EU AI Act (1); OECD AI Principles (1); ISO/IEC 42005 (1); ISO/IEC 27001 (1); ISO/IEC 17021-1 (1); ISO/IEC 31700-1/-2 (1); NIST ARIA (1)</t>
  </si>
  <si>
    <t>ISO/IEC 42001: A.9.2 - Processes for responsible use of AI systems
ISO/IEC 42001: A.9.4 - Intended use of the AI system
EU AI Act: Art.14 - Human oversight
OECD AI Principles: 1.2 - Human rights, democratic values and fairness (incl. privacy)
ISO/IEC 42005: 5.5 - Understanding context and intended/foreseeable use
ISO/IEC 27001: 5.10 - Acceptable use of information and other associated assets
ISO/IEC 17021-1: 8.3 - Reference to certification and use of marks
ISO/IEC 31700-1/-2: 6.2 - Conducting a privacy risk assessment
NIST ARIA: MT.1 - Prepare systems/documentation to support model-testing claims</t>
  </si>
  <si>
    <t>Maintaining availability of systems and services under disruption.</t>
  </si>
  <si>
    <t>One BCP/DR programme with tested RTO/RPO covers ISO 27001 5.29-5.30/8.6/8.13-8.14, DORA Art.11-12, and the availability expectations in EU AI Act Art.15 and GDPR Art.32.</t>
  </si>
  <si>
    <t>ISO/IEC 27001 (7); DORA (1)</t>
  </si>
  <si>
    <t>ISO/IEC 27001: 5.29 - Information security during disruption
ISO/IEC 27001: 5.30 - ICT readiness for business continuity
ISO/IEC 27001: 7.11 - Supporting utilities
ISO/IEC 27001: 8.6 - Capacity management
ISO/IEC 27001: 8.13 - Information backup
ISO/IEC 27001: 8.14 - Redundancy of information processing facilities
ISO/IEC 27001: 8.34 - Protection of information systems during audit testing
DORA: Art.11 - Response and recovery</t>
  </si>
  <si>
    <t>Network segmentation, cloud security, malware/endpoint protection, capacity and web filtering.</t>
  </si>
  <si>
    <t>One network/cloud security architecture and endpoint protection baseline covers ISO 27001 Annex A.8 network/infrastructure controls and the infrastructure resource items in ISO 42001 A.4.5.</t>
  </si>
  <si>
    <t>ISO/IEC 27001 (6); OECD AI Principles (1)</t>
  </si>
  <si>
    <t>OECD AI Principles: 2.4 - Building human capacity and preparing for labour-market transformation
ISO/IEC 27001: 5.23 - Information security for use of cloud services
ISO/IEC 27001: 8.1 - User endpoint devices
ISO/IEC 27001: 8.20 - Networks security
ISO/IEC 27001: 8.21 - Security of network services
ISO/IEC 27001: 8.22 - Segregation of networks
ISO/IEC 27001: 8.23 - Web filtering</t>
  </si>
  <si>
    <t>The specific attack techniques against LLM/GenAI applications: prompt injection, poisoning, agency abuse, etc.</t>
  </si>
  <si>
    <t>Treat this as the technical test plan executed inside the 'Secure AI Development, Testing &amp; Robustness' domain above - these risks are what your red-team/adversarial testing should target.</t>
  </si>
  <si>
    <t>OWASP LLM Top 10 (6)</t>
  </si>
  <si>
    <t>OWASP LLM Top 10: LLM01:2025 - Prompt Injection
OWASP LLM Top 10: LLM05:2025 - Improper Output Handling
OWASP LLM Top 10: LLM06:2025 - Excessive Agency
OWASP LLM Top 10: LLM07:2025 - System Prompt Leakage
OWASP LLM Top 10: LLM09:2025 - Misinformation
OWASP LLM Top 10: LLM10:2025 - Unbounded Consumption</t>
  </si>
  <si>
    <t>The foundational design philosophy (Cavoukian's 7 principles) and its ISO-certifiable realization in ISO/IEC 31700 for consumer goods/services.</t>
  </si>
  <si>
    <t>Bake these principles into product-design checklists and design-review gates once; both Tab 14 (philosophy) and Tab 15 (ISO 31700 certifiable requirements) draw on the same underlying practices - treat Tab 15 as the auditable version of Tab 14.</t>
  </si>
  <si>
    <t>ISO/IEC 27701 (2); ISO/IEC 31700-1/-2 (2); Privacy by Design (Cavoukian) (1)</t>
  </si>
  <si>
    <t>ISO/IEC 27701: 7.4 - Privacy by design and privacy by default
ISO/IEC 27701: 8.4 - Privacy by design and privacy by default
Privacy by Design (Cavoukian): 5.3 - Extend security requirements to third parties in the data chain
ISO/IEC 31700-1/-2: 4.3 - Developing capability to determine consumer privacy preferences
ISO/IEC 31700-1/-2: 4.4 - Designing human computer interface (HCI) for privacy</t>
  </si>
  <si>
    <t>Items unique to one framework with no meaningful equivalent elsewhere in this workbook (e.g. EU AI Act prohibited practices/scope, OECD broad policy recommendations, ISO 17021 certification-body-only clauses, standard-identification/status rows).</t>
  </si>
  <si>
    <t>No consolidation possible - address individually per framework; do not expect another control to cover these.</t>
  </si>
  <si>
    <t>ISO/IEC 31700-1/-2 (10); ISO/IEC 17021-1 (9); DORA (5); FAIR Risk Methodology (5); OECD AI Principles (4); Privacy by Design (Cavoukian) (4); NIST ARIA (4); ISO/IEC 27090 (4); EU AI Act (2); ISO/IEC 27001 (1); ISO/IEC 5181 (1); MITRE ATLAS (1)</t>
  </si>
  <si>
    <t>EU AI Act: Art.2 - Scope
EU AI Act: Art.5 - Prohibited AI practices
OECD AI Principles: 1.1 - Inclusive growth, sustainable development and well-being
OECD AI Principles: 2.1 - Investing in AI research and development
OECD AI Principles: 2.2 - Fostering an inclusive AI-enabling ecosystem
OECD AI Principles: 3.4 - Multi-stakeholder co-operation on risk
ISO/IEC 27001: 4.4 - Information security management system
ISO/IEC 17021-1: 4.2 - Impartiality
ISO/IEC 17021-1: 4.4 - Responsibility
ISO/IEC 17021-1: 4.5 - Openness
ISO/IEC 17021-1: 4.6 - Confidentiality
ISO/IEC 17021-1: 7.3 - Use of individual external auditors and technical experts
ISO/IEC 17021-1: 10.1 - Options
ISO/IEC 17021-1: 10.2.1 - Option A - General
ISO/IEC 17021-1: 10.2.2 - Option A - Management system manual
ISO/IEC 17021-1: 10.3 - Option B - Management system per ISO 9001
Privacy by Design (Cavoukian): 2.1 - Collect and retain only what is necessary by default
Privacy by Design (Cavoukian): 2.2 - Purpose limitation is enforced by default
Privacy by Design (Cavoukian): 3.1 - Treat privacy as a core design requirement, not an add-on
Privacy by Design (Cavoukian): 4.1 - Avoid false trade-offs between privacy and functionality/security
ISO/IEC 31700-1/-2: 4.6 - Establishing multi-functional responsibilities
ISO/IEC 31700-1/-2: 4.7 - Developing privacy knowledge, skill and ability
ISO/IEC 31700-1/-2: 4.8 - Ensuring knowledge of privacy controls
ISO/IEC 31700-1/-2: 5.2 - Provision of privacy information
ISO/IEC 31700-1/-2: 7.3 - Designing privacy controls
ISO/IEC 31700-1/-2: 7.4 - Implementing privacy controls
ISO/IEC 31700-1/-2: 7.5 - Designing privacy control testing
ISO/IEC 31700-1/-2: 7.6 - Managing the transition of privacy controls
ISO/IEC 31700-1/-2: 8.2 - Designing privacy controls for retirement and end of use
ISO/IEC 31700-1/-2: TR-2 - Illustrative use cases and analysis
DORA: Art.2 - Scope
DORA: Art.4 - Proportionality
DORA: Art.8 - Identification
DORA: Art.24 - General requirements for resilience testing
DORA: Art.64 - Application date
NIST ARIA: P.3 - Map ARIA to the NIST AI RMF and GenAI Profile already in use
NIST ARIA: FT.1 - Plan for human-AI interaction evaluation under realistic conditions
NIST ARIA: M.2 - Track the 'secure and resilient' CoRIx dimension specifically
NIST ARIA: D.1 - Follow ARIA's data and evaluation-rules requirements if participating
FAIR Risk Methodology: S1.1 - Stage 1 / Step 1 - Identify the asset at risk
FAIR Risk Methodology: S1.2 - Stage 1 / Step 2 - Identify the threat community
FAIR Risk Methodology: S3.1 - Stage 3 / Step 8 - Estimate worst-case loss
FAIR Risk Methodology: G.3 - Use a repeatable analysis process with peer review
FAIR Risk Methodology: G.4 - Select and maintain appropriate tooling
ISO/IEC 5181: T.6 - Provenance record availability and retention
ISO/IEC 27090: ID - ISO/IEC 27090:2026 - identification
ISO/IEC 27090: Scope - Official scope and framing
ISO/IEC 27090: 7.2 - Consider interactions between mitigations and threats
ISO/IEC 27090: Annex B - AI-specific versions of conventional attacks
MITRE ATLAS: TA-05 - Execution</t>
  </si>
  <si>
    <t>Privacy by Design Checklist - Cavoukian's 7 Foundational Principles (cross-referenced to GDPR Art.25 / ISO 27701 / ISO 31700-1), with CIA Marking</t>
  </si>
  <si>
    <t>Design practice</t>
  </si>
  <si>
    <t>Principle 1</t>
  </si>
  <si>
    <t>Proactive not Reactive; Preventative not Remedial</t>
  </si>
  <si>
    <t>None - user-centric/organizational design practice without a direct CIA-protection function.</t>
  </si>
  <si>
    <t>Privacy risk register maintained from project inception; pre-project privacy screening checklist</t>
  </si>
  <si>
    <t>Privacy commitment statement, leadership sign-off</t>
  </si>
  <si>
    <t>Feeding incident lessons back into design standards preserves the integrity of the privacy-engineering process over time.</t>
  </si>
  <si>
    <t>Incident-derived design-standard updates</t>
  </si>
  <si>
    <t>Principle 2</t>
  </si>
  <si>
    <t>Privacy as the Default Setting</t>
  </si>
  <si>
    <t>Default minimisation directly reduces the volume of data exposed to confidentiality risk.</t>
  </si>
  <si>
    <t>Default configuration review, data minimisation and retention schedule</t>
  </si>
  <si>
    <t>Restricting purpose-based access is an access-control mechanism protecting confidentiality.</t>
  </si>
  <si>
    <t>Purpose-limitation controls in data architecture (tagging, access scoping)</t>
  </si>
  <si>
    <t>Consent/preference-centre configuration and default-state audit</t>
  </si>
  <si>
    <t>Principle 3</t>
  </si>
  <si>
    <t>Privacy Embedded into Design</t>
  </si>
  <si>
    <t>Design requirements documents with an explicit privacy-requirements section</t>
  </si>
  <si>
    <t>DPIA/AISIA reports linked to design decisions</t>
  </si>
  <si>
    <t>PETs such as pseudonymisation, anonymisation and encryption directly reduce confidentiality exposure and can also preserve data integrity guarantees during processing.</t>
  </si>
  <si>
    <t>PET evaluation and adoption records per system</t>
  </si>
  <si>
    <t>Principle 4</t>
  </si>
  <si>
    <t>Full Functionality - Positive-Sum, not Zero-Sum</t>
  </si>
  <si>
    <t>Design trade-off record showing privacy considered alongside functionality/security, not sacrificed by default</t>
  </si>
  <si>
    <t>Well-designed access, encryption and monitoring controls simultaneously protect confidentiality, integrity and availability while also serving privacy goals - the two are not in tension.</t>
  </si>
  <si>
    <t>Combined privacy/security design rationale for key features</t>
  </si>
  <si>
    <t>Principle 5</t>
  </si>
  <si>
    <t>End-to-End Security - Full Lifecycle Protection</t>
  </si>
  <si>
    <t>This principle is explicitly about applying full-lifecycle security - confidentiality, integrity and availability - to personal data.</t>
  </si>
  <si>
    <t>Lifecycle data-flow diagram with security controls mapped to each stage</t>
  </si>
  <si>
    <t>Timely, verifiable deletion reduces confidentiality exposure from data retained beyond its need.</t>
  </si>
  <si>
    <t>Retention schedule, secure-deletion/anonymisation verification records</t>
  </si>
  <si>
    <t>Security must follow the data wherever it flows, including to third parties, to maintain confidentiality, integrity and availability throughout the chain.</t>
  </si>
  <si>
    <t>Third-party security requirements in contracts, verification/audit evidence</t>
  </si>
  <si>
    <t>Principle 6</t>
  </si>
  <si>
    <t>Visibility and Transparency</t>
  </si>
  <si>
    <t>Verifiable, tamper-resistant records of what the system actually does with data support the integrity of transparency claims.</t>
  </si>
  <si>
    <t>Auditable design documentation, independent assessment/certification where applicable</t>
  </si>
  <si>
    <t>Privacy notice accuracy review against actual system behaviour</t>
  </si>
  <si>
    <t>Complaint/redress channel and handling procedure for the design</t>
  </si>
  <si>
    <t>Principle 7</t>
  </si>
  <si>
    <t>Respect for User Privacy - Keep it User-Centric</t>
  </si>
  <si>
    <t>User-centric design review, usability testing on privacy controls</t>
  </si>
  <si>
    <t>Self-service privacy controls (access, correction, deletion, export, consent withdrawal) built into the product</t>
  </si>
  <si>
    <t>Plain-language review of in-product privacy communications</t>
  </si>
  <si>
    <t>ISO/IEC 31700-1:2023 &amp; ISO/IEC TR 31700-2:2023 - Privacy by Design for Consumer Goods and Services, with CIA Marking</t>
  </si>
  <si>
    <t>General - organizational foundations for privacy by design</t>
  </si>
  <si>
    <t>None - consumer-facing UX/organizational design practice without a direct CIA-protection function.</t>
  </si>
  <si>
    <t>In-product rights-enforcement mechanisms, UX flow for exercising rights</t>
  </si>
  <si>
    <t>Privacy preference centre/settings, preference-enforcement testing</t>
  </si>
  <si>
    <t>HCI/UX design review for privacy controls, dark-pattern audit</t>
  </si>
  <si>
    <t>Privacy-by-design RACI for product development</t>
  </si>
  <si>
    <t>Cross-functional privacy coordination process/forum</t>
  </si>
  <si>
    <t>Privacy-by-design training curriculum and completion records</t>
  </si>
  <si>
    <t>Control-specific operational guidance and staff sign-off</t>
  </si>
  <si>
    <t>Documentation integrity ensures design decisions and control records remain an accurate, unaltered basis for later audits and changes.</t>
  </si>
  <si>
    <t>Privacy-by-design documentation set, version control</t>
  </si>
  <si>
    <t>Consumer communication requirements</t>
  </si>
  <si>
    <t>Consumer-facing privacy notice/labelling accuracy review</t>
  </si>
  <si>
    <t>Accountable owner for consumer privacy communications</t>
  </si>
  <si>
    <t>Consumer privacy inquiry/complaint log and response-time tracking</t>
  </si>
  <si>
    <t>Accessibility/plain-language review of privacy communications across user segments</t>
  </si>
  <si>
    <t>Breach communications are triggered by loss of confidentiality, integrity or availability of consumer data and must accurately convey that impact.</t>
  </si>
  <si>
    <t>Pre-drafted consumer breach-notification templates and trigger criteria</t>
  </si>
  <si>
    <t>Risk management requirements</t>
  </si>
  <si>
    <t>Privacy risk assessment centers on the risk of unauthorized exposure or misuse of consumer data - a confidentiality risk.</t>
  </si>
  <si>
    <t>Product-level privacy risk assessment</t>
  </si>
  <si>
    <t>Ensures third parties handling consumer data maintain adequate confidentiality safeguards.</t>
  </si>
  <si>
    <t>Third-party privacy capability assessment/due diligence records</t>
  </si>
  <si>
    <t>Privacy control requirements specification</t>
  </si>
  <si>
    <t>Ongoing monitoring for new confidentiality/exposure risk as the product or its data uses change.</t>
  </si>
  <si>
    <t>Risk assessment review schedule and update records</t>
  </si>
  <si>
    <t>This requirement explicitly ties privacy risk into cybersecurity resilience design, spanning confidentiality, integrity and availability.</t>
  </si>
  <si>
    <t>Combined privacy/cybersecurity risk treatment design</t>
  </si>
  <si>
    <t>Developing, deploying and operating designed privacy controls</t>
  </si>
  <si>
    <t>Privacy checkpoints embedded in the product development lifecycle</t>
  </si>
  <si>
    <t>Designed controls exist specifically to protect the confidentiality of consumer data collected/processed by the product.</t>
  </si>
  <si>
    <t>Privacy control design specifications</t>
  </si>
  <si>
    <t>Implementation must faithfully deliver the confidentiality protections the design specified.</t>
  </si>
  <si>
    <t>Implementation verification against design specification</t>
  </si>
  <si>
    <t>Testing verifies both that data stays protected (confidentiality) and that controls function correctly and consistently (integrity).</t>
  </si>
  <si>
    <t>Privacy control test plans and results</t>
  </si>
  <si>
    <t>Transitions must preserve the integrity of privacy protection - no gap or regression introduced by the change.</t>
  </si>
  <si>
    <t>Change management records for privacy controls</t>
  </si>
  <si>
    <t>Ongoing operation must maintain confidentiality, integrity and availability of the privacy protections throughout the product's active life.</t>
  </si>
  <si>
    <t>Operational monitoring of privacy controls in production</t>
  </si>
  <si>
    <t>Privacy breaches are, by definition, failures of confidentiality, integrity or availability that must be detected and remediated.</t>
  </si>
  <si>
    <t>Privacy breach response plan and incident records</t>
  </si>
  <si>
    <t>Protection must extend across the full chain of dependent processes/products handling the PII, covering confidentiality, integrity and availability throughout.</t>
  </si>
  <si>
    <t>Dependency mapping with privacy-control coverage confirmed end-to-end</t>
  </si>
  <si>
    <t>End of PII lifecycle requirements</t>
  </si>
  <si>
    <t>Secure deletion/return at end of use prevents unauthorized retention or exposure of consumer data after the product's active life.</t>
  </si>
  <si>
    <t>Retirement/end-of-use data deletion or return procedure and verification</t>
  </si>
  <si>
    <t>Part 2</t>
  </si>
  <si>
    <t>ISO/IEC TR 31700-2:2023 - Use cases (informative companion to Part 1)</t>
  </si>
  <si>
    <t>Use Part 2's worked examples as a reference when interpreting ambiguous Part 1 requirements for your own product context</t>
  </si>
  <si>
    <t>DORA - Digital Operational Resilience Act (Regulation (EU) 2022/2554) Checklist, with CIA Marking</t>
  </si>
  <si>
    <t>Determine applicability: DORA applies to a broad list of EU financial entities (credit institutions, payment/e-money institutions, investment firms, crypto-asset service providers, CCPs/CSDs/trading venues, insurers, pension institutions, credit rating agencies, crowdfunding providers, etc.), with limited exclusions for certain small entities.</t>
  </si>
  <si>
    <t>None - governance, legal or supervisory-process obligation without a direct CIA-protection function.</t>
  </si>
  <si>
    <t>Proportionality/simplified-framework eligibility assessment</t>
  </si>
  <si>
    <t>ICT risk management (Art.5-16)</t>
  </si>
  <si>
    <t>The management body bears ultimate responsibility for ICT risk: defines risk appetite, approves ICT security policies and the ICT risk management framework, approves ICT budget/staffing/training, approves major ICT projects, ensures a crisis communication plan and internal audit of ICT risk; at least one board member reports on ICT risk.</t>
  </si>
  <si>
    <t>Board-approved ICT risk appetite, policies, budget and project approvals; board reporting line on ICT risk</t>
  </si>
  <si>
    <t>Maintain a robust, well-documented ICT risk management framework (strategies, policies, procedures, protocols, tools) that minimises the impact of ICT risk; document and review the function periodically, after major incidents, and at least annually.</t>
  </si>
  <si>
    <t>The ICT RMF is the umbrella framework for protecting confidentiality, integrity and availability of ICT systems and data.</t>
  </si>
  <si>
    <t>ICT RMF documentation, annual/post-incident review records</t>
  </si>
  <si>
    <t>Directly requires reliability (availability), up-to-date security (confidentiality/integrity) and resilience under load.</t>
  </si>
  <si>
    <t>Technology standards, patch/maintenance records, capacity/stress-test evidence</t>
  </si>
  <si>
    <t>Knowing what assets exist and where single points of failure sit underpins protection of confidentiality, integrity and availability.</t>
  </si>
  <si>
    <t>ICT asset inventory, dependency mapping, single-point-of-failure analysis</t>
  </si>
  <si>
    <t>Implement controls: information security policies/procedures/access controls, network segmentation, encryption/cryptography policies, third-party access policies, change management, document management, patch management, and ICT project management policies.</t>
  </si>
  <si>
    <t>The core preventive-control set - access control, segmentation and encryption directly protect confidentiality and integrity; patching protects availability.</t>
  </si>
  <si>
    <t>Security policy set, access control, segmentation, encryption, patch and change management evidence</t>
  </si>
  <si>
    <t>Detection capability underpins the ability to catch confidentiality, integrity and availability-impacting events early.</t>
  </si>
  <si>
    <t>Detection/monitoring tooling, alert thresholds, layered control design</t>
  </si>
  <si>
    <t>Implement an ICT business continuity policy (activation triggers, recovery priorities, interim procedures, assessment/decision procedures); conduct a business impact analysis with RTOs/RPOs for critical functions; implement response/recovery plans; test business continuity plans at least annually.</t>
  </si>
  <si>
    <t>Business continuity and recovery planning is fundamentally about restoring availability of critical ICT functions after disruption.</t>
  </si>
  <si>
    <t>BCP/DR policy, BIA with RTO/RPO, annual BC test results</t>
  </si>
  <si>
    <t>Maintain backup policies specifying frequency, type and location/scope of backups; keep restoration systems separate from the primary system and activatable without undue delay; test restorability so restore times align with RTOs; cloud-hosted backups are permitted.</t>
  </si>
  <si>
    <t>Backups protect against loss of data integrity and restore availability after an incident.</t>
  </si>
  <si>
    <t>Backup policy, restoration testing records aligned to RTO</t>
  </si>
  <si>
    <t>Gather, analyse and document findings from major ICT incidents and post-incident reviews; monitor cyber threat intelligence and integrate it into risk assessment; provide ICT security awareness training to all staff, specialist resilience training to relevant roles, and board-level ICT risk training.</t>
  </si>
  <si>
    <t>Learning from incidents and threat intelligence strengthens ongoing protection across confidentiality, integrity and availability.</t>
  </si>
  <si>
    <t>Post-incident review records, threat intelligence integration, training records at all levels incl. board</t>
  </si>
  <si>
    <t>Crisis communication plan, escalation procedures</t>
  </si>
  <si>
    <t>Simplified-framework eligibility and implementation (where applicable)</t>
  </si>
  <si>
    <t>ICT-related incident management, classification and reporting (Art.17-23)</t>
  </si>
  <si>
    <t>The incident process exists to detect and respond to events impacting confidentiality, integrity or availability.</t>
  </si>
  <si>
    <t>Incident management procedure, escalation records, board/senior-management reporting</t>
  </si>
  <si>
    <t>Classification criteria directly reference data loss (confidentiality/integrity) and service criticality (availability).</t>
  </si>
  <si>
    <t>Incident classification criteria and classified incident log</t>
  </si>
  <si>
    <t>Report major incidents to the competent authority in three stages: initial notification within 4 hours of classification as major, intermediate update within 72 hours, and final report within one month; voluntary notification of significant cyber threats is permitted.</t>
  </si>
  <si>
    <t>Major-incident reporting is triggered specifically by confidentiality/integrity/availability-impacting events.</t>
  </si>
  <si>
    <t>Major-incident notification records against the 4-hour/72-hour/1-month timeline</t>
  </si>
  <si>
    <t>Payment-incident reporting process aligned to DORA templates</t>
  </si>
  <si>
    <t>Chapter IV</t>
  </si>
  <si>
    <t>Digital operational resilience testing (Art.24-27)</t>
  </si>
  <si>
    <t>Testing validates that confidentiality, integrity and availability controls actually work as designed.</t>
  </si>
  <si>
    <t>Annual testing programme, independence evidence for testers</t>
  </si>
  <si>
    <t>This is the direct technical security/resilience testing regime covering confidentiality, integrity and availability.</t>
  </si>
  <si>
    <t>Vulnerability scan, code review, performance and end-to-end test reports</t>
  </si>
  <si>
    <t>Entities meeting applicability criteria perform TLPT at least every three years, on live production systems, covering critical/important functions, using cyber threat intelligence to develop realistic attack scenarios; results are mutually recognised across EU jurisdictions.</t>
  </si>
  <si>
    <t>TLPT is a live, adversarial test of the organisation's actual resilience against confidentiality, integrity and availability attacks.</t>
  </si>
  <si>
    <t>TLPT scope, scenario design based on threat intelligence, TLPT report</t>
  </si>
  <si>
    <t>Tester qualification/certification records, independence confirmation</t>
  </si>
  <si>
    <t>Chapter V S1</t>
  </si>
  <si>
    <t>Managing ICT third-party risk - key principles (Art.28-30)</t>
  </si>
  <si>
    <t>Adopt, review and update an ICT third-party risk policy; record all ICT service arrangements in a Register of Information (submitted at least annually to the competent authority); perform pre-contractual due diligence for critical/important functions; monitor TPSP performance and risk on an ongoing basis; assess ICT concentration risk; define an exit strategy for each critical arrangement.</t>
  </si>
  <si>
    <t>Third-party ICT risk directly threatens confidentiality, integrity and availability of outsourced systems/data; concentration risk specifically threatens availability.</t>
  </si>
  <si>
    <t>ICT third-party risk policy, Register of Information, due-diligence and monitoring records, exit strategies</t>
  </si>
  <si>
    <t>Concentration risk is specifically about the availability impact of over-reliance on a single ICT provider.</t>
  </si>
  <si>
    <t>Concentration-risk assessment per new/renewed ICT arrangement</t>
  </si>
  <si>
    <t>Ensure contracts for critical/important functions include mandatory provisions: service description, data locations, data protection, availability/security, audit and access rights, termination rights, reporting, data portability, and sub-contracting terms; lighter provisions apply to non-critical arrangements.</t>
  </si>
  <si>
    <t>The mandated clauses explicitly cover data protection, availability and security - all three CIA properties - in third-party contracts.</t>
  </si>
  <si>
    <t>Contract clause checklist against Art.30(2) mandatory provisions</t>
  </si>
  <si>
    <t>Chapter V S2</t>
  </si>
  <si>
    <t>Oversight of critical ICT third-party service providers (Art.31-44, summary)</t>
  </si>
  <si>
    <t>Awareness of CTPP status of key providers used</t>
  </si>
  <si>
    <t>Internal accountability retained regardless of CTPP oversight status</t>
  </si>
  <si>
    <t>Chapter VI</t>
  </si>
  <si>
    <t>Information-sharing arrangements (Art.45)</t>
  </si>
  <si>
    <t>May voluntarily participate in cyber threat intelligence sharing arrangements with other financial entities, while protecting confidential information and complying with competition rules; participation supports (but does not replace) the threat-intelligence duties under Art.13.</t>
  </si>
  <si>
    <t>Confidential information shared in these arrangements must itself be protected.</t>
  </si>
  <si>
    <t>Threat-intelligence sharing arrangement participation records</t>
  </si>
  <si>
    <t>Chapters VII-IX</t>
  </si>
  <si>
    <t>Competent authorities, delegated acts, transitional/final provisions (Art.46-64, summary)</t>
  </si>
  <si>
    <t>Be aware competent authorities can order cessation of non-compliant conduct, impose administrative penalties (on the entity and responsible natural persons), and publish penalty/measure information (naming and shaming); some Member States also provide criminal penalties.</t>
  </si>
  <si>
    <t>Legal/compliance risk register reflecting DORA penalty exposure</t>
  </si>
  <si>
    <t>Compliance programme aligned to the 17 January 2025 application date</t>
  </si>
  <si>
    <t>NIST ARIA (Assessing Risks and Impacts of AI) - Readiness &amp; Alignment Checklist, with CIA Marking</t>
  </si>
  <si>
    <t>Practice</t>
  </si>
  <si>
    <t>Program</t>
  </si>
  <si>
    <t>Program fundamentals - understanding what ARIA is (and is not)</t>
  </si>
  <si>
    <t>Recognize ARIA (Assessing Risks and Impacts of AI) as a NIST AI Innovation Lab testing, evaluation, validation and verification (TEVV) research program that measures how AI systems behave in realistic, real-world conditions - not only in controlled benchmarks - across generalizable and context-specific risks.</t>
  </si>
  <si>
    <t>None - research/evaluation-engagement practice without a direct CIA-protection function.</t>
  </si>
  <si>
    <t>Internal briefing/awareness note on ARIA's purpose and current pilot (ARIA 0.1, LLM-focused)</t>
  </si>
  <si>
    <t>Confirm internally that participation or alignment with ARIA does not constitute certification, regulatory compliance, or an official safety approval - it is a research evaluation environment whose results are published for the AI community's benefit.</t>
  </si>
  <si>
    <t>Internal communication clarifying ARIA is non-certifying</t>
  </si>
  <si>
    <t>Cross-reference between ARIA engagement plan and existing AI RMF Measure function (Tab 5) outputs</t>
  </si>
  <si>
    <t>Model Testing</t>
  </si>
  <si>
    <t>Level 1 - Model testing (confirm claimed capabilities)</t>
  </si>
  <si>
    <t>Model card / capability documentation ready for independent verification</t>
  </si>
  <si>
    <t>Model-level security/robustness testing verifies the system resists confidentiality, integrity and availability-impacting manipulation.</t>
  </si>
  <si>
    <t>Test plan explicitly covering security/robustness alongside accuracy benchmarks</t>
  </si>
  <si>
    <t>Red Teaming</t>
  </si>
  <si>
    <t>Level 2 - Red teaming (stress test and attempt to induce risks)</t>
  </si>
  <si>
    <t>Red teaming is explicitly adversarial security testing aimed at inducing confidentiality, integrity and availability-impacting failures.</t>
  </si>
  <si>
    <t>Red-team charter/engagement scoped to ARIA-style structured adversarial testing</t>
  </si>
  <si>
    <t>Scenario-based adversarial testing against known attack patterns directly probes confidentiality, integrity and availability weaknesses.</t>
  </si>
  <si>
    <t>Red-team scenario catalogue mapped to GenAI Profile risks and/or OWASP LLM Top 10</t>
  </si>
  <si>
    <t>Tracking findings to closure preserves the integrity of the risk-remediation process.</t>
  </si>
  <si>
    <t>Red-team findings log and remediation tracker</t>
  </si>
  <si>
    <t>Field Testing</t>
  </si>
  <si>
    <t>Level 3 - Field testing (examine impacts under regular use)</t>
  </si>
  <si>
    <t>Field-testing or pilot-use evaluation plan with diverse real-world scenarios</t>
  </si>
  <si>
    <t>Field-testing impact findings cross-referenced to the ISO 42005 impact assessment</t>
  </si>
  <si>
    <t>Measurement</t>
  </si>
  <si>
    <t>Measurement layer - Contextual Robustness Index (CoRIx) and related metrics</t>
  </si>
  <si>
    <t>Recognize that ARIA scores evaluated systems on the Contextual Robustness Index (CoRIx), a suite of metrics (ARIA documents ten measurement dimensions, including the seven AI RMF trustworthy characteristics - valid/reliable, safe, secure/resilient, accountable/transparent, explainable/interpretable, privacy-enhanced, and fair with harmful bias managed) indicating whether a system maintains trustworthy functionality across varied deployment conditions.</t>
  </si>
  <si>
    <t>Internal summary of CoRIx dimensions relevant to the organization's AI systems</t>
  </si>
  <si>
    <t>This CoRIx dimension is explicitly the security dimension of the index, covering resilience to attack and manipulation across confidentiality, integrity and availability.</t>
  </si>
  <si>
    <t>Dimension-level tracking of secure/resilient scores from any ARIA-aligned evaluation</t>
  </si>
  <si>
    <t>Data &amp; Participation</t>
  </si>
  <si>
    <t>Data handling and participation in ARIA evaluations</t>
  </si>
  <si>
    <t>If submitting a system/application for ARIA evaluation, confirm the organization can comply with NIST's stated evaluation rules and data-handling expectations (e.g. data collected is used for research purposes per the published ARIA Data/Evaluation policies).</t>
  </si>
  <si>
    <t>Data submitted into a third-party research evaluation environment needs confidentiality safeguards appropriate to its sensitivity.</t>
  </si>
  <si>
    <t>Review of current ARIA participation/data-handling terms before submission (check ai-challenges.nist.gov/aria for the latest)</t>
  </si>
  <si>
    <t>Use published ARIA evaluation outcomes (where available) as additional evidence to strengthen internal AI RMF Measure/Manage activities (Tab 5), not as a substitute for the organization's own risk assessment, impact assessment, or regulatory compliance work.</t>
  </si>
  <si>
    <t>Internal note on how ARIA outcomes feed into, but do not replace, existing risk/impact assessments</t>
  </si>
  <si>
    <t>FAIR (Factor Analysis of Information Risk) - Risk Methodology Requirements Checklist, with CIA Marking</t>
  </si>
  <si>
    <t>Taxonomy</t>
  </si>
  <si>
    <t>FAIR core risk taxonomy (the factors to define before analysing any scenario)</t>
  </si>
  <si>
    <t>FAIR risk scenarios are ultimately about the frequency and magnitude of loss arising from confidentiality, integrity and/or availability-impacting events.</t>
  </si>
  <si>
    <t>Risk scenario statements expressed as LEF x PLM rather than qualitative ratings</t>
  </si>
  <si>
    <t>LEF estimates how often a CIA-impacting loss event is expected to occur.</t>
  </si>
  <si>
    <t>LEF estimation worksheet per scenario</t>
  </si>
  <si>
    <t>None - methodological/organizational rigor requirement without a direct CIA-protection function.</t>
  </si>
  <si>
    <t>TEF estimate with contact-frequency and probability-of-action inputs documented</t>
  </si>
  <si>
    <t>Assessing an attacker's capability to overcome controls is directly about the likelihood of a confidentiality/integrity/availability compromise.</t>
  </si>
  <si>
    <t>TCap estimate per threat-community/scenario</t>
  </si>
  <si>
    <t>Control strength is literally the measure of how well existing security controls resist confidentiality/integrity/availability compromise.</t>
  </si>
  <si>
    <t>Control strength estimate for the controls protecting the asset in scope</t>
  </si>
  <si>
    <t>Vulnerability is the probability that an attack actually succeeds in compromising confidentiality, integrity or availability.</t>
  </si>
  <si>
    <t>Vulnerability derivation combining TCap and RS/CS estimates</t>
  </si>
  <si>
    <t>Estimate PLM by combining Primary Loss (direct impact to the organization) and Secondary Loss (impact from secondary stakeholder reactions, e.g. regulators, customers), categorised across the six forms of loss: productivity, response, replacement, fines and judgments, competitive advantage, and reputation.</t>
  </si>
  <si>
    <t>Loss magnitude is the direct business consequence of confidentiality, integrity or availability-impacting events materialising.</t>
  </si>
  <si>
    <t>PLM worksheet covering primary and secondary loss across all six loss forms</t>
  </si>
  <si>
    <t>Secondary loss is frequently triggered by a confidentiality breach (e.g. data exposure) prompting regulatory or customer reaction.</t>
  </si>
  <si>
    <t>Secondary loss estimate with reaction probability and magnitude</t>
  </si>
  <si>
    <t>Process</t>
  </si>
  <si>
    <t>The four-stage, ten-step FAIR risk assessment process</t>
  </si>
  <si>
    <t>The asset-at-risk identification frames which confidentiality, integrity and availability properties are actually being analysed.</t>
  </si>
  <si>
    <t>Documented asset-at-risk definition per scenario, linked to the organization's asset inventory</t>
  </si>
  <si>
    <t>Threat community definitions per scenario</t>
  </si>
  <si>
    <t>Calibrated TEF estimate with supporting rationale/data sources</t>
  </si>
  <si>
    <t>Calibrated TCap estimate</t>
  </si>
  <si>
    <t>This step directly measures how well implemented security controls resist confidentiality/integrity/availability compromise.</t>
  </si>
  <si>
    <t>Calibrated control-strength estimate referencing actual control implementation (e.g. from ISO 27001 Annex A controls already tracked in this workbook)</t>
  </si>
  <si>
    <t>Directly expresses the probability of a successful confidentiality/integrity/availability compromise.</t>
  </si>
  <si>
    <t>Vulnerability derivation output (probability distribution)</t>
  </si>
  <si>
    <t>LEF is the quantified frequency of CIA-impacting loss events.</t>
  </si>
  <si>
    <t>LEF output (probability distribution) per scenario</t>
  </si>
  <si>
    <t>Worst-case loss estimate with rationale</t>
  </si>
  <si>
    <t>The loss magnitude quantifies the business impact of confidentiality, integrity or availability compromise.</t>
  </si>
  <si>
    <t>Probable loss magnitude estimate (distribution) per scenario</t>
  </si>
  <si>
    <t>Combine the Loss Event Frequency and Probable Loss Magnitude distributions (typically via Monte Carlo simulation) to produce a risk result - e.g. a loss exceedance curve or annualized loss expectancy range - and communicate it in business terms.</t>
  </si>
  <si>
    <t>The final quantified risk result represents the combined confidentiality/integrity/availability risk exposure in business terms.</t>
  </si>
  <si>
    <t>Risk model output (loss exceedance curve / ALE range) and executive-level risk articulation</t>
  </si>
  <si>
    <t>Governance</t>
  </si>
  <si>
    <t>Organizational requirements to implement FAIR correctly</t>
  </si>
  <si>
    <t>Calibration training records for risk analysts</t>
  </si>
  <si>
    <t>FAIR taxonomy/glossary reference adopted organization-wide</t>
  </si>
  <si>
    <t>FAIR analysis workflow with peer-review sign-off</t>
  </si>
  <si>
    <t>Approved FAIR tooling and version/configuration record</t>
  </si>
  <si>
    <t>Feed FAIR-quantified risk scenarios into the organization's existing risk register, risk appetite statements, and treatment decisions (e.g. alongside the ISO 27001/42001 risk registers already tracked in this workbook), rather than running FAIR as an isolated exercise.</t>
  </si>
  <si>
    <t>Cross-reference from FAIR scenario outputs to the organization's risk register and treatment plan</t>
  </si>
  <si>
    <t>Periodically check that the organization's FAIR implementation still satisfies the general quality criteria for a sound risk methodology (clearly defined, internally consistent taxonomy; ability to express variability/uncertainty with ranges and distributions; logically defensible relationships between factors; and results that support meaningful comparison and prioritisation across scenarios).</t>
  </si>
  <si>
    <t>Periodic internal review of FAIR implementation against these quality criteria</t>
  </si>
  <si>
    <t>Data Lineage, Provenance &amp; Governance Register - DAMA-DMBOK Aligned</t>
  </si>
  <si>
    <t>Catalogue datasets (incl. AI training/operational data) and track the fields below. Field definitions follow DAMA International's Data Management Body of Knowledge (DAMA-DMBOK) knowledge areas.</t>
  </si>
  <si>
    <t>Field Guide - what each column captures and the DAMA-DMBOK knowledge area it maps to</t>
  </si>
  <si>
    <t>Column</t>
  </si>
  <si>
    <t>DAMA-DMBOK Knowledge Area(s)</t>
  </si>
  <si>
    <t>What it captures / why it matters</t>
  </si>
  <si>
    <t>Dataset ID</t>
  </si>
  <si>
    <t>Metadata Management</t>
  </si>
  <si>
    <t>Unique, stable identifier for the dataset so it can be referenced consistently across systems, risk registers and this workbook's AI/data tabs.</t>
  </si>
  <si>
    <t>Dataset Name</t>
  </si>
  <si>
    <t>Human-readable name used consistently in catalogues, documentation and conversations about the data.</t>
  </si>
  <si>
    <t>Context / Business Purpose</t>
  </si>
  <si>
    <t>Data Governance</t>
  </si>
  <si>
    <t>What business process, product or AI system the data supports, and why it is collected - the context needed to judge whether a use is still within scope.</t>
  </si>
  <si>
    <t>Source Entry (System of Record)</t>
  </si>
  <si>
    <t>Data Architecture; Reference &amp; Master Data</t>
  </si>
  <si>
    <t>The authoritative originating system, application, sensor, survey, vendor feed or third party the data first enters the organization from.</t>
  </si>
  <si>
    <t>Collection Method</t>
  </si>
  <si>
    <t>Data Quality; Data Architecture</t>
  </si>
  <si>
    <t>How the data was captured - direct entry, API/system integration, web scraping, purchased feed, sensor/IoT, survey, derived/inferred - since method affects quality and consent basis.</t>
  </si>
  <si>
    <t>Provenance (Origin &amp; Custody Chain)</t>
  </si>
  <si>
    <t>Metadata Management; Data Governance</t>
  </si>
  <si>
    <t>The documented chain of custody and transformation from original source to current state, including any third parties the data has passed through.</t>
  </si>
  <si>
    <t>Lineage (Upstream / Downstream Flow)</t>
  </si>
  <si>
    <t>Metadata Management; Data Integration &amp; Interoperability</t>
  </si>
  <si>
    <t>Where the data flows: upstream systems/datasets it depends on, and downstream systems, reports, models or products that consume it - enabling impact analysis of a change or breach.</t>
  </si>
  <si>
    <t>Version / Snapshot Information</t>
  </si>
  <si>
    <t>Metadata Management; Data Storage &amp; Operations</t>
  </si>
  <si>
    <t>Version identifier, extraction/snapshot timestamp, and change history, so a specific state of the data can be reproduced or audited.</t>
  </si>
  <si>
    <t>Data Licensing</t>
  </si>
  <si>
    <t>Data Governance; Reference &amp; Master Data</t>
  </si>
  <si>
    <t>The licence or legal basis under which the data may be used (owned, licensed-in with terms, open data licence, public domain) and any restrictions that come with it.</t>
  </si>
  <si>
    <t>Access Rights &amp; Classification</t>
  </si>
  <si>
    <t>Data Security Management</t>
  </si>
  <si>
    <t>The data's sensitivity classification (e.g. public/internal/confidential/restricted) and who/which roles are authorized to access it, per the organization's access control policy.</t>
  </si>
  <si>
    <t>Intended Use / Purpose Limitation</t>
  </si>
  <si>
    <t>Data Governance; Data Quality</t>
  </si>
  <si>
    <t>The specific, documented purpose(s) the data may be used for - the basis for judging purpose-limitation compliance (e.g. GDPR Art.5(1)(b), Tab 9) and for AI training-data suitability.</t>
  </si>
  <si>
    <t>Jurisdictional Considerations</t>
  </si>
  <si>
    <t>Data Governance; Data Security Management</t>
  </si>
  <si>
    <t>Country/region of data residency, applicable data protection law (e.g. GDPR, Qatar PDPPL), and any cross-border transfer mechanism relied upon (see GDPR Tab 9, Art.44-49).</t>
  </si>
  <si>
    <t>Data Quality Notes</t>
  </si>
  <si>
    <t>Data Quality</t>
  </si>
  <si>
    <t>Known quality issues, completeness/accuracy caveats, or quality-assurance checks performed, relevant to anyone using the data (including for AI training per ISO 42001 A.7.4, Tab 2).</t>
  </si>
  <si>
    <t>Owner / Steward</t>
  </si>
  <si>
    <t>The accountable business owner and the operational data steward responsible for maintaining this record and the data's quality/compliance.</t>
  </si>
  <si>
    <t>Last Reviewed</t>
  </si>
  <si>
    <t>Date this register entry was last verified as accurate, supporting periodic review obligations across the frameworks in this workbook.</t>
  </si>
  <si>
    <t>Current lifecycle status of the dataset entry (e.g. Active, Under review, Deprecated, Scheduled for deletion).</t>
  </si>
  <si>
    <t>Dataset Register (log one row per dataset; 2 illustrative examples below, followed by blank rows ready to use)</t>
  </si>
  <si>
    <t>Row ID</t>
  </si>
  <si>
    <t>EX-1</t>
  </si>
  <si>
    <t>DS-0001</t>
  </si>
  <si>
    <t>Customer Support Transcripts</t>
  </si>
  <si>
    <t>Chatbot Support Transcripts - training/fine-tuning data for the internal support-triage AI assistant</t>
  </si>
  <si>
    <t>Support ticketing system (CRM, system of record)</t>
  </si>
  <si>
    <t>Direct system export via API integration</t>
  </si>
  <si>
    <t>Captured at point of support interaction by the CRM; exported nightly via scheduled API pull; no third-party intermediary</t>
  </si>
  <si>
    <t>CRM -&gt; nightly ETL pipeline -&gt; data lake raw zone -&gt; curated training-data store used by the AI pipeline</t>
  </si>
  <si>
    <t>v2026.09 (monthly snapshot, extracted 2026-09-01)</t>
  </si>
  <si>
    <t>Internally owned; subject to employee/customer terms of service - no external licence restrictions</t>
  </si>
  <si>
    <t>Confidential - restricted to AI engineering and data governance roles via IAM group</t>
  </si>
  <si>
    <t>AI model training and QA review only - not for marketing or third-party sharing</t>
  </si>
  <si>
    <t>Data resident in Qatar-region cloud tenancy; subject to Qatar PDPPL; no cross-border transfer configured</t>
  </si>
  <si>
    <t>Contains free-text PII in some transcripts - masking applied before training per DLP policy</t>
  </si>
  <si>
    <t>Jane Steward (AI Engineering)</t>
  </si>
  <si>
    <t>2026-09-15</t>
  </si>
  <si>
    <t>Active</t>
  </si>
  <si>
    <t>EX-2</t>
  </si>
  <si>
    <t>DS-0002</t>
  </si>
  <si>
    <t>Public Vulnerability Feed</t>
  </si>
  <si>
    <t>NVD CVE Feed - threat-intelligence enrichment for the vulnerability-management platform</t>
  </si>
  <si>
    <t>National Vulnerability Database (external public feed)</t>
  </si>
  <si>
    <t>Automated API ingestion (scheduled pull)</t>
  </si>
  <si>
    <t>Published by NIST NVD; ingested directly with no intermediate aggregator</t>
  </si>
  <si>
    <t>NVD API -&gt; ingestion service -&gt; threat-intel data store -&gt; vulnerability-management dashboard</t>
  </si>
  <si>
    <t>Continuous feed; snapshot versioned daily</t>
  </si>
  <si>
    <t>US Government public data - no licence restriction (public domain)</t>
  </si>
  <si>
    <t>Internal - available to all security operations staff</t>
  </si>
  <si>
    <t>Vulnerability prioritisation and risk scoring</t>
  </si>
  <si>
    <t>Data originates in the US; no personal data involved, so residency is not a constraint</t>
  </si>
  <si>
    <t>High completeness; occasional delay between CVE publication and NVD enrichment</t>
  </si>
  <si>
    <t>Ahmed Khan (SOC)</t>
  </si>
  <si>
    <t>2026-10-01</t>
  </si>
  <si>
    <t>ISO/IEC 5181 - Data Provenance (incl. AI Data/System Provenance Application), with CIA Marking</t>
  </si>
  <si>
    <t>Requirement / Guidance</t>
  </si>
  <si>
    <t>Standard identification and status (verified from ISO/IEC JTC 1/SC 27)</t>
  </si>
  <si>
    <t>Title: 'Information security, cybersecurity and privacy protection - Data provenance'. Developed by ISO/IEC JTC 1/SC 27 (Information security, cybersecurity and privacy protection), ICS 35.030. Status at time of writing: International Standard under publication (final production), expected publication around October 2026 - check ISO's site for the confirmed publication date and edition before relying on this tab for formal audit evidence.</t>
  </si>
  <si>
    <t>None - terminology/application-mapping item without a direct CIA-protection function.</t>
  </si>
  <si>
    <t>ISO/IEC 5181 status confirmation (www.iso.org/standard/80971.html)</t>
  </si>
  <si>
    <t>Verified scope: 'This document provides guidelines, methodology and techniques for deriving securely information denoted to as provenance metadata about data assets from multiple sources, intermediaries or users.' - i.e. how to capture, derive and secure provenance metadata across a data asset's chain of custody, not specific to AI but directly applicable to AI training/operational data and model lineage.</t>
  </si>
  <si>
    <t>Scope statement on file for audit-readiness context</t>
  </si>
  <si>
    <t>Topical</t>
  </si>
  <si>
    <t>Topical structure (inferred from scope and SC27 provenance-standard conventions - NOT verified numbered clauses; confirm against the published text)</t>
  </si>
  <si>
    <t>Provenance glossary/terminology reference adopted</t>
  </si>
  <si>
    <t>A well-defined metadata model is the basis for an accurate, tamper-evident record of what happened to a data asset - an integrity concern.</t>
  </si>
  <si>
    <t>Provenance metadata schema/model documentation</t>
  </si>
  <si>
    <t>This is the standard's core security contribution: deriving provenance 'securely' means protecting the confidentiality of sensitive provenance details and the integrity of the provenance record itself.</t>
  </si>
  <si>
    <t>Cryptographic/tamper-evidence controls applied to provenance records</t>
  </si>
  <si>
    <t>An unbroken chain of custody across parties is fundamentally an integrity property of the provenance record.</t>
  </si>
  <si>
    <t>Multi-party provenance chain documentation (e.g. for data passed through suppliers, data brokers, or federated AI training)</t>
  </si>
  <si>
    <t>Trust/assurance levels help determine who can rely on provenance claims, which relates to confidentiality of the underlying trust decisions.</t>
  </si>
  <si>
    <t>Provenance assurance-level classification applied to key datasets</t>
  </si>
  <si>
    <t>If provenance records become unavailable, the chain of custody cannot be verified when needed - an availability concern.</t>
  </si>
  <si>
    <t>Provenance record retention policy aligned to data/model lifecycle</t>
  </si>
  <si>
    <t>AI</t>
  </si>
  <si>
    <t>Application to AI data and AI system provenance</t>
  </si>
  <si>
    <t>Securely derived dataset provenance protects against undetected data poisoning (integrity) and can reveal sensitive source information needing confidentiality protection.</t>
  </si>
  <si>
    <t>Dataset provenance records cross-referenced to the Data Governance Register (Tab 19) and ISO 42001 A.7.5 (Tabs 1-2)</t>
  </si>
  <si>
    <t>Model lineage integrity underpins trust that a deployed model is the one that was actually tested and approved.</t>
  </si>
  <si>
    <t>Model card / model lineage register with provenance metadata per version</t>
  </si>
  <si>
    <t>Extend provenance capture to third-party models, datasets, libraries and APIs incorporated into an AI system, consistent with the AI supply-chain controls already tracked elsewhere in this workbook (ISO 42001 A.10, Tab 1-2; EU AI Act value-chain provisions, Tab 3).</t>
  </si>
  <si>
    <t>Unverified third-party component provenance is a known AI supply-chain attack vector (see OWASP LLM03 Supply Chain, Tab 10).</t>
  </si>
  <si>
    <t>Third-party AI component provenance records</t>
  </si>
  <si>
    <t>Where the AI system generates synthetic content (text, image, audio, video), be aware that content-level provenance/authenticity (e.g. watermarking, C2PA Content Credentials) is addressed by separate, content-focused standards/initiatives rather than by ISO/IEC 5181 itself, which is scoped to data-asset provenance; apply both where relevant.</t>
  </si>
  <si>
    <t>Mapping of which provenance mechanism (ISO/IEC 5181 for data assets vs C2PA-style content credentials for generated outputs) applies to each AI use case</t>
  </si>
  <si>
    <t>Use ISO/IEC 5181 as the detailed 'how' for provenance behind the 'what' already required elsewhere: ISO 42001 A.7.5 (data provenance), EU AI Act Art.10 (data governance), GDPR Art.5(1)(f)/30 (integrity/confidentiality principle, records of processing), and the NIST AI RMF Map function (Tab 5).</t>
  </si>
  <si>
    <t>Cross-reference table linking ISO/IEC 5181 provenance techniques to each framework's provenance-related clause</t>
  </si>
  <si>
    <t>ISO/IEC 27090:2026 - Addressing Security Threats and Compromises to AI Systems, with CIA Marking</t>
  </si>
  <si>
    <t>Requirement / Threat Description</t>
  </si>
  <si>
    <t>Standard identification (verified)</t>
  </si>
  <si>
    <t>Title: 'Cybersecurity - Artificial Intelligence - Addressing security threats and compromises to AI systems'. First edition, published October 2026 by ISO/IEC JTC 1/SC 27/WG 4 (development started 2022). Draws on ISO/IEC 22989 (AI concepts/terminology), ISO/IEC 5338 (AI system life cycle), ISO/IEC 42001 (AIMS) and ISO/IEC 38507 (governance implications of AI for the body governing the organization).</t>
  </si>
  <si>
    <t>None - scope/governance framing without a direct CIA-protection function.</t>
  </si>
  <si>
    <t>ISO/IEC 27090:2026 confirmed published status</t>
  </si>
  <si>
    <t>Guides organizations on addressing security threats to AI systems: discusses organisational consequences of security threats compromising AI systems at various life-cycle points, and explains how to detect and mitigate them. Scope is threats TO AI systems of concern to the AI system owner - not threats INVOLVING AI used by attackers against others, and excludes AI-vs-AI 'robot wars' scenarios.</t>
  </si>
  <si>
    <t>Scope statement on file; AI threat-model boundary agreed (owner's AI system, not AI misuse by third parties)</t>
  </si>
  <si>
    <t>Application of information security</t>
  </si>
  <si>
    <t>Recognize that AI systems run on conventional computer systems/networks, so all the usual confidentiality, integrity and availability/cybersecurity concerns (e.g. ISO 27001/27002, Tab 7) still apply and remain essential - AI-specific threats are additive, not a replacement.</t>
  </si>
  <si>
    <t>This clause is explicit that conventional CIA/cybersecurity practice is the necessary foundation beneath AI-specific threat handling.</t>
  </si>
  <si>
    <t>Confirmation that existing ISMS controls (Tab 7) are applied to AI system infrastructure before layering AI-specific controls</t>
  </si>
  <si>
    <t>Treat AI security as spanning strategic, tactical and operational levels - design, development, testing, implementation/integration, use, monitoring, management, maintenance and eventual decommissioning of the AI system - not only technical/CIA controls.</t>
  </si>
  <si>
    <t>AI security governance structure spanning the full life cycle (cross-reference ISO 42001, Tabs 1-2, and ISO/IEC 5338 life-cycle stages)</t>
  </si>
  <si>
    <t>Types of potential compromise to AI systems (threat catalogue)</t>
  </si>
  <si>
    <t>Poisoning is a direct attack on the integrity of the model's learned behaviour via its training data.</t>
  </si>
  <si>
    <t>Data provenance/integrity controls on training data (cross-ref Tab 19 Data Governance Register, Tab 20 ISO 5181)</t>
  </si>
  <si>
    <t>Model poisoning directly corrupts the integrity of the deployed model.</t>
  </si>
  <si>
    <t>Model training pipeline integrity controls, signed/verified model artifacts</t>
  </si>
  <si>
    <t>Evasion attacks manipulate model output/behaviour without authorization - an integrity compromise.</t>
  </si>
  <si>
    <t>Adversarial robustness testing (cross-ref OWASP LLM01 Prompt Injection, Tab 10)</t>
  </si>
  <si>
    <t>Membership inference is a confidentiality attack - it reveals information about the training data that should not be inferable.</t>
  </si>
  <si>
    <t>Membership-inference testing as part of model privacy/security evaluation</t>
  </si>
  <si>
    <t>Model inversion directly threatens confidentiality of the underlying training data.</t>
  </si>
  <si>
    <t>Model inversion resistance testing (e.g. output perturbation, differential privacy)</t>
  </si>
  <si>
    <t>Model stealing is a confidentiality/IP-theft attack against the model and the data embodied within it.</t>
  </si>
  <si>
    <t>Rate limiting, query monitoring and IP-protection controls (cross-ref OWASP LLM10 Unbounded Consumption, Tab 10)</t>
  </si>
  <si>
    <t>Prompt/output injection can be used to exfiltrate data (C), manipulate downstream behaviour (I), or trigger disruptive actions (A) depending on what the output feeds into.</t>
  </si>
  <si>
    <t>Input/output validation and sanitization controls (cross-ref OWASP LLM01/LLM05, Tab 10)</t>
  </si>
  <si>
    <t>Beyond the named threats above, the standard's threat catalogue covers at least a dozen scenarios in total (each with about a page of guidance); review the full published catalogue for scenarios not individually itemised in this tab (e.g. supply-chain-specific variants, denial-of-service against AI inference, and other emerging attack patterns).</t>
  </si>
  <si>
    <t>Full threat-catalogue review against the published ISO/IEC 27090 text</t>
  </si>
  <si>
    <t>Mitigations and their interactions with threats</t>
  </si>
  <si>
    <t>For each threat in Clause 6, apply the standard's guidance on characterising the threat, its potential consequences, and how to detect and mitigate it - rather than applying generic security controls uniformly without considering threat-specific nuances.</t>
  </si>
  <si>
    <t>Threat-specific mitigation is how the standard operationalizes protecting confidentiality, integrity and availability against each distinct AI attack pattern.</t>
  </si>
  <si>
    <t>Threat-by-threat mitigation mapping (one control set per threat type in Clause 6)</t>
  </si>
  <si>
    <t>Assess how a mitigation applied for one threat may interact with (help, hinder, or be neutral to) other threats and other already-applied mitigations, avoiding a false sense of security from mitigations that only address a single threat in isolation.</t>
  </si>
  <si>
    <t>Documented mitigation-interaction analysis across the threat catalogue</t>
  </si>
  <si>
    <t>Mapping attacks to life-cycle stage and asset is how the standard targets confidentiality, integrity and availability protection where it is actually needed.</t>
  </si>
  <si>
    <t>Life-cycle and asset mapping completed for the organization's AI systems (cross-ref ISO 42001 A.4.2-A.4.6, Tabs 1-2)</t>
  </si>
  <si>
    <t>Recognize that many conventional cybersecurity attack patterns (e.g. supply-chain compromise, denial of service, credential theft) have AI-specific variants, and apply conventional security knowledge adapted to the AI context rather than treating AI threats as entirely novel.</t>
  </si>
  <si>
    <t>AI-specific variants of conventional attacks still ultimately threaten confidentiality, integrity and availability, consistent with their conventional counterparts.</t>
  </si>
  <si>
    <t>Conventional attack catalogue reviewed for AI-specific variants relevant to the organization's systems</t>
  </si>
  <si>
    <t>Federated learning changes where confidentiality and integrity risks concentrate (at each participant and in the aggregation step) compared with centralised training.</t>
  </si>
  <si>
    <t>Federated learning threat model and controls, where this architecture is used</t>
  </si>
  <si>
    <t>MITRE ATLAS - Adversarial Threat Landscape for AI Systems (16 Tactics), with CIA Marking</t>
  </si>
  <si>
    <t>Tactic / Topic</t>
  </si>
  <si>
    <t>Adversary objective / Description</t>
  </si>
  <si>
    <t>Defensive evidence / test guidance</t>
  </si>
  <si>
    <t>Framework identification (verified)</t>
  </si>
  <si>
    <t>MITRE ATLAS (Adversarial Threat Landscape for Artificial-Intelligence Systems): a public, living knowledge base of adversary tactics, techniques and real-world case studies targeting AI/ML systems, maintained by MITRE (with the Center for Threat-Informed Defense and industry contributors, incl. the 'Secure AI' initiative). Structured identically to MITRE ATT&amp;CK - tactics as the adversary's objectives (columns), techniques beneath each as the methods to achieve them (rows), each linked to documented mitigations and real-world case studies. Current public release spans 16 tactics and roughly 100+ techniques/sub-techniques, continuing to expand with agentic-AI and multi-agent techniques.</t>
  </si>
  <si>
    <t>None - preparatory/informational tactic without a direct CIA-protection function at this stage.</t>
  </si>
  <si>
    <t>ATLAS version/release confirmed against atlas.mitre.org before relying on counts for formal reporting</t>
  </si>
  <si>
    <t>ATLAS is a threat-intelligence and red-teaming reference, not a certifiable requirements standard: use it to red-team AI systems, to structure detection engineering/SOC use cases for AI-specific attacks, and as a common language between red and blue teams - cross-walk the matrix against your own AI architecture rather than treating every tactic/technique as a mandatory control.</t>
  </si>
  <si>
    <t>AI red-team programme and detection-engineering backlog referencing ATLAS tactics/techniques</t>
  </si>
  <si>
    <t>Tactics</t>
  </si>
  <si>
    <t>The 16 ATLAS tactics (adversary objectives across the attack lifecycle)</t>
  </si>
  <si>
    <t>Reconnaissance is fundamentally about extracting information that should remain confidential (system design, prompts, access structure).</t>
  </si>
  <si>
    <t>Test for prompt/system-prompt extraction, RBAC enumeration, and disclosure of proprietary or competitive information</t>
  </si>
  <si>
    <t>Threat intelligence monitoring for adversary tooling/infrastructure relevant to the organization's AI systems</t>
  </si>
  <si>
    <t>Initial access is the breach point that opens the door to confidentiality, integrity and availability compromise downstream.</t>
  </si>
  <si>
    <t>Input validation testing, prompt-injection testing, debug-endpoint exposure checks (cross-ref OWASP LLM01, Tab 10)</t>
  </si>
  <si>
    <t>The level of access to model internals is itself a confidentiality property that determines the attacker's subsequent capability.</t>
  </si>
  <si>
    <t>Model access-boundary review: confirm what level of model access is exposed to which parties</t>
  </si>
  <si>
    <t>Unauthorized execution directly corrupts the integrity of the system's intended operation.</t>
  </si>
  <si>
    <t>Execution-environment hardening and monitoring for unauthorized code/command execution in AI pipelines</t>
  </si>
  <si>
    <t>Persistence mechanisms are unauthorized, unintended footholds that compromise the integrity of the system over time.</t>
  </si>
  <si>
    <t>Model/pipeline integrity verification across retraining and redeployment cycles</t>
  </si>
  <si>
    <t>Escalated privileges can be used to compromise confidentiality, integrity and availability depending on what the elevated access reaches.</t>
  </si>
  <si>
    <t>Least-privilege review of AI pipeline/service accounts and escalation-path testing</t>
  </si>
  <si>
    <t>Evasion undermines the integrity of the organization's ability to trust its own monitoring and detection signal.</t>
  </si>
  <si>
    <t>Detection-threshold review and anomaly-detection tuning for subtle/low-and-slow AI-specific manipulation</t>
  </si>
  <si>
    <t>Credential theft is a direct confidentiality compromise of the access-control mechanism.</t>
  </si>
  <si>
    <t>Credential/secret-management review for AI pipeline and inference-API access (cross-ref ISO 27001 8.2/8.5, Tab 7)</t>
  </si>
  <si>
    <t>Discovery reveals the environment's structure, a confidentiality exposure that enables more targeted follow-on attacks.</t>
  </si>
  <si>
    <t>Environment/asset exposure review for AI-related infrastructure discoverable by an attacker</t>
  </si>
  <si>
    <t>Lateral movement expands the attacker's reach across systems, multiplying confidentiality, integrity and availability exposure.</t>
  </si>
  <si>
    <t>Network/service segmentation testing between AI components and the broader environment (cross-ref ISO 27001 8.22, Tab 7)</t>
  </si>
  <si>
    <t>Collection is the staging of a confidentiality breach - gathering sensitive data before it leaves the environment.</t>
  </si>
  <si>
    <t>Data access logging and anomalous-collection-pattern monitoring around AI data stores</t>
  </si>
  <si>
    <t>Adversary prepares and positions an AI-specific attack: poisoning inputs/training data, crafting adversarial examples, embedding backdoors, or inducing hallucinations for exploitation - the tactic with the most AI-native techniques and no direct ATT&amp;CK equivalent.</t>
  </si>
  <si>
    <t>Attack staging is specifically about manipulating the AI system's behaviour or training - an integrity attack by nature.</t>
  </si>
  <si>
    <t>Adversarial-input and data-poisoning testing (cross-ref OWASP LLM01/LLM04/LLM06, Tab 10, and ISO 27090 Clause 6, Tab 21)</t>
  </si>
  <si>
    <t>A live command-and-control channel gives the adversary ongoing control that threatens the availability/integrity of the compromised component.</t>
  </si>
  <si>
    <t>Egress monitoring and anomalous outbound-connection detection from AI infrastructure</t>
  </si>
  <si>
    <t>Exfiltration is the direct, final confidentiality breach - sensitive data actually leaving the organization's control.</t>
  </si>
  <si>
    <t>DLP tuned for AI-specific exfiltration channels (inference responses, encoded outputs) (cross-ref ISO 27001 8.12, Tab 7)</t>
  </si>
  <si>
    <t>Impact is the adversary's end goal and can manifest as any combination of confidentiality, integrity or availability compromise.</t>
  </si>
  <si>
    <t>Impact-scenario red-teaming: hijacking, excessive-agency and output-manipulation testing (cross-ref OWASP LLM06, Tab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</si>
</sst>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charset val="1"/>
    </font>
    <font>
      <b/>
      <sz val="14"/>
      <name val="Arial"/>
      <family val="2"/>
    </font>
    <font>
      <sz val="10"/>
      <name val="Arial"/>
      <family val="2"/>
    </font>
    <font>
      <b/>
      <sz val="10"/>
      <color rgb="FFFFFFFF"/>
      <name val="Arial"/>
      <family val="2"/>
    </font>
    <font>
      <b/>
      <sz val="10"/>
      <name val="Arial"/>
      <family val="2"/>
    </font>
    <font>
      <b/>
      <sz val="11"/>
      <color rgb="FFC00000"/>
      <name val="Arial"/>
      <family val="2"/>
    </font>
    <font>
      <b/>
      <sz val="11"/>
      <name val="Arial"/>
      <family val="2"/>
    </font>
    <font>
      <b/>
      <sz val="9"/>
      <name val="Arial"/>
      <family val="2"/>
    </font>
    <font>
      <sz val="9"/>
      <name val="Arial"/>
      <family val="2"/>
    </font>
    <font>
      <b/>
      <sz val="10"/>
      <color rgb="FFC00000"/>
      <name val="Arial"/>
      <family val="2"/>
    </font>
    <font>
      <b/>
      <sz val="13"/>
      <name val="Arial"/>
      <family val="2"/>
    </font>
    <font>
      <i/>
      <sz val="10"/>
      <name val="Arial"/>
      <family val="2"/>
    </font>
    <font>
      <i/>
      <sz val="9"/>
      <name val="Arial"/>
      <family val="2"/>
    </font>
    <font>
      <b/>
      <sz val="12"/>
      <name val="Arial"/>
      <family val="2"/>
    </font>
    <font>
      <b/>
      <sz val="14"/>
      <name val="Calibri"/>
      <family val="2"/>
    </font>
    <font>
      <b/>
      <sz val="11"/>
      <name val="Calibri"/>
      <family val="2"/>
    </font>
  </fonts>
  <fills count="28">
    <fill>
      <patternFill patternType="none"/>
    </fill>
    <fill>
      <patternFill patternType="gray125"/>
    </fill>
    <fill>
      <patternFill patternType="solid">
        <fgColor rgb="FF1F3864"/>
        <bgColor rgb="FF203864"/>
      </patternFill>
    </fill>
    <fill>
      <patternFill patternType="solid">
        <fgColor rgb="FFD9E2F3"/>
        <bgColor rgb="FFEAF1DD"/>
      </patternFill>
    </fill>
    <fill>
      <patternFill patternType="solid">
        <fgColor rgb="FF7F6000"/>
        <bgColor rgb="FF783F04"/>
      </patternFill>
    </fill>
    <fill>
      <patternFill patternType="solid">
        <fgColor rgb="FF833C0B"/>
        <bgColor rgb="FF783F04"/>
      </patternFill>
    </fill>
    <fill>
      <patternFill patternType="solid">
        <fgColor rgb="FFFCE4D6"/>
        <bgColor rgb="FFFFF2CC"/>
      </patternFill>
    </fill>
    <fill>
      <patternFill patternType="solid">
        <fgColor rgb="FFC00000"/>
        <bgColor rgb="FF990000"/>
      </patternFill>
    </fill>
    <fill>
      <patternFill patternType="solid">
        <fgColor rgb="FF375623"/>
        <bgColor rgb="FF434343"/>
      </patternFill>
    </fill>
    <fill>
      <patternFill patternType="solid">
        <fgColor rgb="FF203864"/>
        <bgColor rgb="FF1F3864"/>
      </patternFill>
    </fill>
    <fill>
      <patternFill patternType="solid">
        <fgColor rgb="FF4B3B6B"/>
        <bgColor rgb="FF434343"/>
      </patternFill>
    </fill>
    <fill>
      <patternFill patternType="solid">
        <fgColor rgb="FF0B5394"/>
        <bgColor rgb="FF1C4587"/>
      </patternFill>
    </fill>
    <fill>
      <patternFill patternType="solid">
        <fgColor rgb="FF000000"/>
        <bgColor rgb="FF20124D"/>
      </patternFill>
    </fill>
    <fill>
      <patternFill patternType="solid">
        <fgColor rgb="FF674EA7"/>
        <bgColor rgb="FF7030A0"/>
      </patternFill>
    </fill>
    <fill>
      <patternFill patternType="solid">
        <fgColor rgb="FF7030A0"/>
        <bgColor rgb="FF674EA7"/>
      </patternFill>
    </fill>
    <fill>
      <patternFill patternType="solid">
        <fgColor rgb="FFB45F06"/>
        <bgColor rgb="FF7F6000"/>
      </patternFill>
    </fill>
    <fill>
      <patternFill patternType="solid">
        <fgColor rgb="FF38761D"/>
        <bgColor rgb="FF375623"/>
      </patternFill>
    </fill>
    <fill>
      <patternFill patternType="solid">
        <fgColor rgb="FF990000"/>
        <bgColor rgb="FF8B0000"/>
      </patternFill>
    </fill>
    <fill>
      <patternFill patternType="solid">
        <fgColor rgb="FF134F5C"/>
        <bgColor rgb="FF1C4587"/>
      </patternFill>
    </fill>
    <fill>
      <patternFill patternType="solid">
        <fgColor rgb="FF0C343D"/>
        <bgColor rgb="FF1F3864"/>
      </patternFill>
    </fill>
    <fill>
      <patternFill patternType="solid">
        <fgColor rgb="FF783F04"/>
        <bgColor rgb="FF833C0B"/>
      </patternFill>
    </fill>
    <fill>
      <patternFill patternType="solid">
        <fgColor rgb="FFFFF2CC"/>
        <bgColor rgb="FFFCE4D6"/>
      </patternFill>
    </fill>
    <fill>
      <patternFill patternType="solid">
        <fgColor rgb="FF1C4587"/>
        <bgColor rgb="FF0B5394"/>
      </patternFill>
    </fill>
    <fill>
      <patternFill patternType="solid">
        <fgColor rgb="FFEAF1DD"/>
        <bgColor rgb="FFFFF2CC"/>
      </patternFill>
    </fill>
    <fill>
      <patternFill patternType="solid">
        <fgColor rgb="FFFFFFFF"/>
        <bgColor rgb="FFEAF1DD"/>
      </patternFill>
    </fill>
    <fill>
      <patternFill patternType="solid">
        <fgColor rgb="FF434343"/>
        <bgColor rgb="FF4B3B6B"/>
      </patternFill>
    </fill>
    <fill>
      <patternFill patternType="solid">
        <fgColor rgb="FF20124D"/>
        <bgColor rgb="FF0C343D"/>
      </patternFill>
    </fill>
    <fill>
      <patternFill patternType="solid">
        <fgColor rgb="FF8B0000"/>
        <bgColor rgb="FF990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1" fillId="0" borderId="0" xfId="0" applyFont="1"/>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4" fillId="3" borderId="1" xfId="0" applyFont="1" applyFill="1" applyBorder="1"/>
    <xf numFmtId="0" fontId="2" fillId="0" borderId="1" xfId="0" applyFont="1" applyBorder="1" applyAlignment="1">
      <alignment vertical="top" wrapText="1"/>
    </xf>
    <xf numFmtId="0" fontId="5" fillId="0" borderId="1" xfId="0" applyFont="1" applyBorder="1" applyAlignment="1">
      <alignment horizontal="center" vertical="top"/>
    </xf>
    <xf numFmtId="0" fontId="3" fillId="4" borderId="1" xfId="0" applyFont="1" applyFill="1" applyBorder="1" applyAlignment="1">
      <alignment horizontal="left" vertical="center" wrapText="1"/>
    </xf>
    <xf numFmtId="0" fontId="3" fillId="2" borderId="1" xfId="0" applyFont="1" applyFill="1" applyBorder="1" applyAlignment="1">
      <alignment wrapText="1"/>
    </xf>
    <xf numFmtId="0" fontId="2" fillId="0" borderId="1" xfId="0" applyFont="1" applyBorder="1"/>
    <xf numFmtId="164" fontId="2" fillId="0" borderId="1" xfId="0" applyNumberFormat="1" applyFont="1" applyBorder="1"/>
    <xf numFmtId="0" fontId="4" fillId="0" borderId="1" xfId="0" applyFont="1" applyBorder="1"/>
    <xf numFmtId="164" fontId="4" fillId="0" borderId="1" xfId="0" applyNumberFormat="1" applyFont="1" applyBorder="1"/>
    <xf numFmtId="0" fontId="6" fillId="0" borderId="0" xfId="0" applyFont="1"/>
    <xf numFmtId="0" fontId="2" fillId="0" borderId="0" xfId="0" applyFont="1"/>
    <xf numFmtId="0" fontId="3" fillId="5" borderId="1" xfId="0" applyFont="1" applyFill="1" applyBorder="1" applyAlignment="1">
      <alignment vertical="center" wrapText="1"/>
    </xf>
    <xf numFmtId="0" fontId="7" fillId="6" borderId="1" xfId="0" applyFont="1" applyFill="1" applyBorder="1" applyAlignment="1">
      <alignment vertical="top" wrapText="1"/>
    </xf>
    <xf numFmtId="0" fontId="8" fillId="6" borderId="1" xfId="0" applyFont="1" applyFill="1" applyBorder="1" applyAlignment="1">
      <alignment vertical="top" wrapText="1"/>
    </xf>
    <xf numFmtId="0" fontId="3" fillId="7" borderId="1" xfId="0" applyFont="1" applyFill="1" applyBorder="1" applyAlignment="1">
      <alignment vertical="center" wrapText="1"/>
    </xf>
    <xf numFmtId="0" fontId="3" fillId="8" borderId="1" xfId="0" applyFont="1" applyFill="1" applyBorder="1" applyAlignment="1">
      <alignment vertical="center" wrapText="1"/>
    </xf>
    <xf numFmtId="0" fontId="3" fillId="9" borderId="1" xfId="0" applyFont="1" applyFill="1" applyBorder="1" applyAlignment="1">
      <alignment vertical="center" wrapText="1"/>
    </xf>
    <xf numFmtId="0" fontId="3" fillId="2" borderId="1" xfId="0" applyFont="1" applyFill="1" applyBorder="1" applyAlignment="1">
      <alignment vertical="center" wrapText="1"/>
    </xf>
    <xf numFmtId="0" fontId="3" fillId="10" borderId="1" xfId="0" applyFont="1" applyFill="1" applyBorder="1" applyAlignment="1">
      <alignment vertical="center" wrapText="1"/>
    </xf>
    <xf numFmtId="0" fontId="3" fillId="11" borderId="1" xfId="0" applyFont="1" applyFill="1" applyBorder="1" applyAlignment="1">
      <alignment vertical="center" wrapText="1"/>
    </xf>
    <xf numFmtId="0" fontId="3" fillId="12" borderId="1" xfId="0" applyFont="1" applyFill="1" applyBorder="1" applyAlignment="1">
      <alignment vertical="center" wrapText="1"/>
    </xf>
    <xf numFmtId="0" fontId="3" fillId="13" borderId="1" xfId="0" applyFont="1" applyFill="1" applyBorder="1" applyAlignment="1">
      <alignment vertical="center" wrapText="1"/>
    </xf>
    <xf numFmtId="0" fontId="8" fillId="0" borderId="1" xfId="0" applyFont="1" applyBorder="1" applyAlignment="1">
      <alignment vertical="top" wrapText="1"/>
    </xf>
    <xf numFmtId="0" fontId="9" fillId="0" borderId="1" xfId="0" applyFont="1" applyBorder="1" applyAlignment="1">
      <alignment horizontal="center" vertical="top"/>
    </xf>
    <xf numFmtId="0" fontId="3" fillId="14" borderId="1" xfId="0" applyFont="1" applyFill="1" applyBorder="1" applyAlignment="1">
      <alignment vertical="center" wrapText="1"/>
    </xf>
    <xf numFmtId="0" fontId="4" fillId="0" borderId="1" xfId="0" applyFont="1" applyBorder="1" applyAlignment="1">
      <alignment vertical="top" wrapText="1"/>
    </xf>
    <xf numFmtId="0" fontId="8" fillId="0" borderId="1" xfId="0" applyFont="1" applyBorder="1" applyAlignment="1">
      <alignment horizontal="center" vertical="top"/>
    </xf>
    <xf numFmtId="0" fontId="10" fillId="0" borderId="0" xfId="0" applyFont="1"/>
    <xf numFmtId="0" fontId="3" fillId="15" borderId="1" xfId="0" applyFont="1" applyFill="1" applyBorder="1" applyAlignment="1">
      <alignment vertical="center" wrapText="1"/>
    </xf>
    <xf numFmtId="0" fontId="3" fillId="16" borderId="1" xfId="0" applyFont="1" applyFill="1" applyBorder="1" applyAlignment="1">
      <alignment vertical="center" wrapText="1"/>
    </xf>
    <xf numFmtId="0" fontId="3" fillId="17" borderId="1" xfId="0" applyFont="1" applyFill="1" applyBorder="1" applyAlignment="1">
      <alignment vertical="center" wrapText="1"/>
    </xf>
    <xf numFmtId="0" fontId="3" fillId="18" borderId="1" xfId="0" applyFont="1" applyFill="1" applyBorder="1" applyAlignment="1">
      <alignment vertical="center" wrapText="1"/>
    </xf>
    <xf numFmtId="0" fontId="3" fillId="19" borderId="1" xfId="0" applyFont="1" applyFill="1" applyBorder="1" applyAlignment="1">
      <alignment vertical="center" wrapText="1"/>
    </xf>
    <xf numFmtId="0" fontId="11" fillId="0" borderId="0" xfId="0" applyFont="1" applyAlignment="1">
      <alignment wrapText="1"/>
    </xf>
    <xf numFmtId="0" fontId="3" fillId="20" borderId="1" xfId="0" applyFont="1" applyFill="1" applyBorder="1" applyAlignment="1">
      <alignment vertical="center" wrapText="1"/>
    </xf>
    <xf numFmtId="0" fontId="7" fillId="21" borderId="1" xfId="0" applyFont="1" applyFill="1" applyBorder="1" applyAlignment="1">
      <alignment vertical="top" wrapText="1"/>
    </xf>
    <xf numFmtId="0" fontId="12" fillId="21" borderId="1" xfId="0" applyFont="1" applyFill="1" applyBorder="1" applyAlignment="1">
      <alignment vertical="top" wrapText="1"/>
    </xf>
    <xf numFmtId="0" fontId="8" fillId="21" borderId="1" xfId="0" applyFont="1" applyFill="1" applyBorder="1" applyAlignment="1">
      <alignment vertical="top" wrapText="1"/>
    </xf>
    <xf numFmtId="0" fontId="13" fillId="0" borderId="0" xfId="0" applyFont="1"/>
    <xf numFmtId="0" fontId="3" fillId="22" borderId="1" xfId="0" applyFont="1" applyFill="1" applyBorder="1" applyAlignment="1">
      <alignment vertical="center" wrapText="1"/>
    </xf>
    <xf numFmtId="0" fontId="8" fillId="23" borderId="1" xfId="0" applyFont="1" applyFill="1" applyBorder="1" applyAlignment="1">
      <alignment vertical="top" wrapText="1"/>
    </xf>
    <xf numFmtId="0" fontId="8" fillId="24" borderId="1" xfId="0" applyFont="1" applyFill="1" applyBorder="1" applyAlignment="1">
      <alignment vertical="top" wrapText="1"/>
    </xf>
    <xf numFmtId="0" fontId="3" fillId="25" borderId="1" xfId="0" applyFont="1" applyFill="1" applyBorder="1" applyAlignment="1">
      <alignment vertical="center" wrapText="1"/>
    </xf>
    <xf numFmtId="0" fontId="3" fillId="26" borderId="1" xfId="0" applyFont="1" applyFill="1" applyBorder="1" applyAlignment="1">
      <alignment vertical="center" wrapText="1"/>
    </xf>
    <xf numFmtId="0" fontId="3" fillId="27" borderId="1" xfId="0" applyFont="1" applyFill="1" applyBorder="1" applyAlignment="1">
      <alignment vertical="center" wrapText="1"/>
    </xf>
    <xf numFmtId="0" fontId="14" fillId="0" borderId="0" xfId="0" applyFont="1"/>
    <xf numFmtId="0" fontId="15" fillId="0" borderId="0" xfId="0" applyFont="1" applyAlignment="1">
      <alignment vertical="top" wrapText="1"/>
    </xf>
    <xf numFmtId="0" fontId="0" fillId="0" borderId="0" xfId="0" applyAlignment="1">
      <alignment vertical="top" wrapText="1"/>
    </xf>
  </cellXfs>
  <cellStyles count="1">
    <cellStyle name="Normal" xfId="0" builtinId="0"/>
  </cellStyles>
  <dxfs count="61">
    <dxf>
      <fill>
        <patternFill>
          <bgColor rgb="FFFFEB9C"/>
        </patternFill>
      </fill>
    </dxf>
    <dxf>
      <fill>
        <patternFill>
          <bgColor rgb="FFA9D08E"/>
        </patternFill>
      </fill>
    </dxf>
    <dxf>
      <fill>
        <patternFill>
          <bgColor rgb="FFC6EFCE"/>
        </patternFill>
      </fill>
    </dxf>
    <dxf>
      <fill>
        <patternFill>
          <bgColor rgb="FFFFEB9C"/>
        </patternFill>
      </fill>
    </dxf>
    <dxf>
      <fill>
        <patternFill>
          <bgColor rgb="FFA9D08E"/>
        </patternFill>
      </fill>
    </dxf>
    <dxf>
      <fill>
        <patternFill>
          <bgColor rgb="FFC6EFCE"/>
        </patternFill>
      </fill>
    </dxf>
    <dxf>
      <fill>
        <patternFill>
          <bgColor rgb="FFFFEB9C"/>
        </patternFill>
      </fill>
    </dxf>
    <dxf>
      <fill>
        <patternFill>
          <bgColor rgb="FFA9D08E"/>
        </patternFill>
      </fill>
    </dxf>
    <dxf>
      <fill>
        <patternFill>
          <bgColor rgb="FFC6EFCE"/>
        </patternFill>
      </fill>
    </dxf>
    <dxf>
      <fill>
        <patternFill>
          <bgColor rgb="FFFFEB9C"/>
        </patternFill>
      </fill>
    </dxf>
    <dxf>
      <fill>
        <patternFill>
          <bgColor rgb="FFA9D08E"/>
        </patternFill>
      </fill>
    </dxf>
    <dxf>
      <fill>
        <patternFill>
          <bgColor rgb="FFC6EFCE"/>
        </patternFill>
      </fill>
    </dxf>
    <dxf>
      <fill>
        <patternFill>
          <bgColor rgb="FFFFEB9C"/>
        </patternFill>
      </fill>
    </dxf>
    <dxf>
      <fill>
        <patternFill>
          <bgColor rgb="FFA9D08E"/>
        </patternFill>
      </fill>
    </dxf>
    <dxf>
      <fill>
        <patternFill>
          <bgColor rgb="FFC6EFCE"/>
        </patternFill>
      </fill>
    </dxf>
    <dxf>
      <fill>
        <patternFill>
          <bgColor rgb="FFFFEB9C"/>
        </patternFill>
      </fill>
    </dxf>
    <dxf>
      <fill>
        <patternFill>
          <bgColor rgb="FFA9D08E"/>
        </patternFill>
      </fill>
    </dxf>
    <dxf>
      <fill>
        <patternFill>
          <bgColor rgb="FFC6EFCE"/>
        </patternFill>
      </fill>
    </dxf>
    <dxf>
      <fill>
        <patternFill>
          <bgColor rgb="FFFFEB9C"/>
        </patternFill>
      </fill>
    </dxf>
    <dxf>
      <fill>
        <patternFill>
          <bgColor rgb="FFA9D08E"/>
        </patternFill>
      </fill>
    </dxf>
    <dxf>
      <fill>
        <patternFill>
          <bgColor rgb="FFC6EFCE"/>
        </patternFill>
      </fill>
    </dxf>
    <dxf>
      <fill>
        <patternFill>
          <bgColor rgb="FFFFEB9C"/>
        </patternFill>
      </fill>
    </dxf>
    <dxf>
      <fill>
        <patternFill>
          <bgColor rgb="FFA9D08E"/>
        </patternFill>
      </fill>
    </dxf>
    <dxf>
      <fill>
        <patternFill>
          <bgColor rgb="FFC6EFCE"/>
        </patternFill>
      </fill>
    </dxf>
    <dxf>
      <fill>
        <patternFill>
          <bgColor rgb="FFFFEB9C"/>
        </patternFill>
      </fill>
    </dxf>
    <dxf>
      <fill>
        <patternFill>
          <bgColor rgb="FFA9D08E"/>
        </patternFill>
      </fill>
    </dxf>
    <dxf>
      <fill>
        <patternFill>
          <bgColor rgb="FFC6EFCE"/>
        </patternFill>
      </fill>
    </dxf>
    <dxf>
      <fill>
        <patternFill>
          <bgColor rgb="FFFFEB9C"/>
        </patternFill>
      </fill>
    </dxf>
    <dxf>
      <fill>
        <patternFill>
          <bgColor rgb="FFA9D08E"/>
        </patternFill>
      </fill>
    </dxf>
    <dxf>
      <fill>
        <patternFill>
          <bgColor rgb="FFC6EFCE"/>
        </patternFill>
      </fill>
    </dxf>
    <dxf>
      <fill>
        <patternFill>
          <bgColor rgb="FFF8CBAD"/>
        </patternFill>
      </fill>
    </dxf>
    <dxf>
      <fill>
        <patternFill>
          <bgColor rgb="FFFFEB9C"/>
        </patternFill>
      </fill>
    </dxf>
    <dxf>
      <fill>
        <patternFill>
          <bgColor rgb="FFA9D08E"/>
        </patternFill>
      </fill>
    </dxf>
    <dxf>
      <fill>
        <patternFill>
          <bgColor rgb="FFC6EFCE"/>
        </patternFill>
      </fill>
    </dxf>
    <dxf>
      <fill>
        <patternFill>
          <bgColor rgb="FFFFEB9C"/>
        </patternFill>
      </fill>
    </dxf>
    <dxf>
      <fill>
        <patternFill>
          <bgColor rgb="FFA9D08E"/>
        </patternFill>
      </fill>
    </dxf>
    <dxf>
      <fill>
        <patternFill>
          <bgColor rgb="FFC6EFCE"/>
        </patternFill>
      </fill>
    </dxf>
    <dxf>
      <fill>
        <patternFill>
          <bgColor rgb="FFFFEB9C"/>
        </patternFill>
      </fill>
    </dxf>
    <dxf>
      <fill>
        <patternFill>
          <bgColor rgb="FFA9D08E"/>
        </patternFill>
      </fill>
    </dxf>
    <dxf>
      <fill>
        <patternFill>
          <bgColor rgb="FFC6EFCE"/>
        </patternFill>
      </fill>
    </dxf>
    <dxf>
      <fill>
        <patternFill>
          <bgColor rgb="FFFFEB9C"/>
        </patternFill>
      </fill>
    </dxf>
    <dxf>
      <fill>
        <patternFill>
          <bgColor rgb="FFA9D08E"/>
        </patternFill>
      </fill>
    </dxf>
    <dxf>
      <fill>
        <patternFill>
          <bgColor rgb="FFC6EFCE"/>
        </patternFill>
      </fill>
    </dxf>
    <dxf>
      <fill>
        <patternFill>
          <bgColor rgb="FFFFEB9C"/>
        </patternFill>
      </fill>
    </dxf>
    <dxf>
      <fill>
        <patternFill>
          <bgColor rgb="FFA9D08E"/>
        </patternFill>
      </fill>
    </dxf>
    <dxf>
      <fill>
        <patternFill>
          <bgColor rgb="FFC6EFCE"/>
        </patternFill>
      </fill>
    </dxf>
    <dxf>
      <fill>
        <patternFill>
          <bgColor rgb="FFFFEB9C"/>
        </patternFill>
      </fill>
    </dxf>
    <dxf>
      <fill>
        <patternFill>
          <bgColor rgb="FFA9D08E"/>
        </patternFill>
      </fill>
    </dxf>
    <dxf>
      <fill>
        <patternFill>
          <bgColor rgb="FFC6EFCE"/>
        </patternFill>
      </fill>
    </dxf>
    <dxf>
      <fill>
        <patternFill>
          <bgColor rgb="FFFFEB9C"/>
        </patternFill>
      </fill>
    </dxf>
    <dxf>
      <fill>
        <patternFill>
          <bgColor rgb="FFA9D08E"/>
        </patternFill>
      </fill>
    </dxf>
    <dxf>
      <fill>
        <patternFill>
          <bgColor rgb="FFC6EFCE"/>
        </patternFill>
      </fill>
    </dxf>
    <dxf>
      <fill>
        <patternFill>
          <bgColor rgb="FFFFEB9C"/>
        </patternFill>
      </fill>
    </dxf>
    <dxf>
      <fill>
        <patternFill>
          <bgColor rgb="FFA9D08E"/>
        </patternFill>
      </fill>
    </dxf>
    <dxf>
      <fill>
        <patternFill>
          <bgColor rgb="FFC6EFCE"/>
        </patternFill>
      </fill>
    </dxf>
    <dxf>
      <fill>
        <patternFill>
          <bgColor rgb="FFFFEB9C"/>
        </patternFill>
      </fill>
    </dxf>
    <dxf>
      <fill>
        <patternFill>
          <bgColor rgb="FFA9D08E"/>
        </patternFill>
      </fill>
    </dxf>
    <dxf>
      <fill>
        <patternFill>
          <bgColor rgb="FFC6EFCE"/>
        </patternFill>
      </fill>
    </dxf>
    <dxf>
      <fill>
        <patternFill>
          <bgColor rgb="FFFFEB9C"/>
        </patternFill>
      </fill>
    </dxf>
    <dxf>
      <fill>
        <patternFill>
          <bgColor rgb="FFA9D08E"/>
        </patternFill>
      </fill>
    </dxf>
    <dxf>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B0000"/>
      <rgbColor rgb="FF38761D"/>
      <rgbColor rgb="FF20124D"/>
      <rgbColor rgb="FF7F6000"/>
      <rgbColor rgb="FF800080"/>
      <rgbColor rgb="FF134F5C"/>
      <rgbColor rgb="FFBFBFBF"/>
      <rgbColor rgb="FF808080"/>
      <rgbColor rgb="FF9999FF"/>
      <rgbColor rgb="FF7030A0"/>
      <rgbColor rgb="FFFFF2CC"/>
      <rgbColor rgb="FFEAF1DD"/>
      <rgbColor rgb="FF4B3B6B"/>
      <rgbColor rgb="FFFF8080"/>
      <rgbColor rgb="FF0B5394"/>
      <rgbColor rgb="FFD9E2F3"/>
      <rgbColor rgb="FF203864"/>
      <rgbColor rgb="FFFF00FF"/>
      <rgbColor rgb="FFFFFF00"/>
      <rgbColor rgb="FF00FFFF"/>
      <rgbColor rgb="FF800080"/>
      <rgbColor rgb="FF990000"/>
      <rgbColor rgb="FF008080"/>
      <rgbColor rgb="FF0000FF"/>
      <rgbColor rgb="FF00CCFF"/>
      <rgbColor rgb="FFFCE4D6"/>
      <rgbColor rgb="FFC6EFCE"/>
      <rgbColor rgb="FFFFEB9C"/>
      <rgbColor rgb="FFA9D08E"/>
      <rgbColor rgb="FFFF99CC"/>
      <rgbColor rgb="FFCC99FF"/>
      <rgbColor rgb="FFF8CBAD"/>
      <rgbColor rgb="FF3366FF"/>
      <rgbColor rgb="FF33CCCC"/>
      <rgbColor rgb="FF99CC00"/>
      <rgbColor rgb="FFFFCC00"/>
      <rgbColor rgb="FFFF9900"/>
      <rgbColor rgb="FFB45F06"/>
      <rgbColor rgb="FF674EA7"/>
      <rgbColor rgb="FF969696"/>
      <rgbColor rgb="FF0C343D"/>
      <rgbColor rgb="FF339966"/>
      <rgbColor rgb="FF1F3864"/>
      <rgbColor rgb="FF375623"/>
      <rgbColor rgb="FF833C0B"/>
      <rgbColor rgb="FF783F04"/>
      <rgbColor rgb="FF1C4587"/>
      <rgbColor rgb="FF43434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election activeCell="B9" sqref="B9"/>
    </sheetView>
  </sheetViews>
  <sheetFormatPr baseColWidth="10" defaultColWidth="8.83203125" defaultRowHeight="15" x14ac:dyDescent="0.2"/>
  <cols>
    <col min="1" max="1" width="22" customWidth="1"/>
    <col min="2" max="2" width="110" customWidth="1"/>
  </cols>
  <sheetData>
    <row r="1" spans="1:2" ht="19" x14ac:dyDescent="0.25">
      <c r="A1" s="51" t="s">
        <v>0</v>
      </c>
    </row>
    <row r="2" spans="1:2" ht="16" x14ac:dyDescent="0.2">
      <c r="A2" s="52" t="s">
        <v>1</v>
      </c>
      <c r="B2" s="53" t="s">
        <v>2</v>
      </c>
    </row>
    <row r="3" spans="1:2" ht="16" x14ac:dyDescent="0.2">
      <c r="A3" s="52" t="s">
        <v>3</v>
      </c>
      <c r="B3" s="53" t="s">
        <v>4</v>
      </c>
    </row>
    <row r="4" spans="1:2" ht="16" x14ac:dyDescent="0.2">
      <c r="A4" s="52" t="s">
        <v>5</v>
      </c>
      <c r="B4" s="53" t="s">
        <v>6</v>
      </c>
    </row>
    <row r="5" spans="1:2" ht="48" x14ac:dyDescent="0.2">
      <c r="A5" s="52" t="s">
        <v>7</v>
      </c>
      <c r="B5" s="53" t="s">
        <v>8</v>
      </c>
    </row>
    <row r="6" spans="1:2" ht="16" x14ac:dyDescent="0.2">
      <c r="A6" s="52" t="s">
        <v>9</v>
      </c>
      <c r="B6" s="53" t="s">
        <v>10</v>
      </c>
    </row>
    <row r="7" spans="1:2" ht="16" x14ac:dyDescent="0.2">
      <c r="A7" s="52" t="s">
        <v>11</v>
      </c>
      <c r="B7" s="53" t="s">
        <v>12</v>
      </c>
    </row>
    <row r="8" spans="1:2" ht="16" x14ac:dyDescent="0.2">
      <c r="A8" s="52" t="s">
        <v>13</v>
      </c>
      <c r="B8" s="53" t="s">
        <v>14</v>
      </c>
    </row>
    <row r="9" spans="1:2" ht="16" x14ac:dyDescent="0.2">
      <c r="A9" s="52" t="s">
        <v>15</v>
      </c>
      <c r="B9" s="53"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5"/>
  <sheetViews>
    <sheetView tabSelected="1" zoomScaleNormal="100" workbookViewId="0"/>
  </sheetViews>
  <sheetFormatPr baseColWidth="10" defaultColWidth="8.6640625" defaultRowHeight="15" x14ac:dyDescent="0.2"/>
  <cols>
    <col min="1" max="1" width="38" customWidth="1"/>
    <col min="2" max="7" width="14" customWidth="1"/>
    <col min="8" max="8" width="24" customWidth="1"/>
  </cols>
  <sheetData>
    <row r="1" spans="1:8" ht="17.25" customHeight="1" x14ac:dyDescent="0.2">
      <c r="A1" s="3" t="s">
        <v>440</v>
      </c>
    </row>
    <row r="3" spans="1:8" ht="23.25" customHeight="1" x14ac:dyDescent="0.2">
      <c r="A3" s="10" t="s">
        <v>441</v>
      </c>
      <c r="B3" s="10" t="s">
        <v>442</v>
      </c>
      <c r="C3" s="10" t="s">
        <v>72</v>
      </c>
      <c r="D3" s="10" t="s">
        <v>443</v>
      </c>
      <c r="E3" s="10" t="s">
        <v>444</v>
      </c>
      <c r="F3" s="10" t="s">
        <v>445</v>
      </c>
      <c r="G3" s="10" t="s">
        <v>446</v>
      </c>
      <c r="H3" s="10" t="s">
        <v>447</v>
      </c>
    </row>
    <row r="4" spans="1:8" ht="15" customHeight="1" x14ac:dyDescent="0.2">
      <c r="A4" s="11" t="s">
        <v>448</v>
      </c>
      <c r="B4" s="11">
        <f>SUM(C4:G4)</f>
        <v>5</v>
      </c>
      <c r="C4" s="11">
        <f>COUNTIFS('1 CIA-Security Controls'!$L$4:$L$23,"Not started",'1 CIA-Security Controls'!$B$4:$B$23,"Clause")</f>
        <v>5</v>
      </c>
      <c r="D4" s="11">
        <f>COUNTIFS('1 CIA-Security Controls'!$L$4:$L$23,"In progress",'1 CIA-Security Controls'!$B$4:$B$23,"Clause")</f>
        <v>0</v>
      </c>
      <c r="E4" s="11">
        <f>COUNTIFS('1 CIA-Security Controls'!$L$4:$L$23,"Implemented",'1 CIA-Security Controls'!$B$4:$B$23,"Clause")</f>
        <v>0</v>
      </c>
      <c r="F4" s="11">
        <f>COUNTIFS('1 CIA-Security Controls'!$L$4:$L$23,"Verified",'1 CIA-Security Controls'!$B$4:$B$23,"Clause")</f>
        <v>0</v>
      </c>
      <c r="G4" s="11">
        <f>COUNTIFS('1 CIA-Security Controls'!$L$4:$L$23,"Not applicable",'1 CIA-Security Controls'!$B$4:$B$23,"Clause")</f>
        <v>0</v>
      </c>
      <c r="H4" s="12">
        <f t="shared" ref="H4:H10" si="0">IFERROR((E4+F4)/(B4-G4),0)</f>
        <v>0</v>
      </c>
    </row>
    <row r="5" spans="1:8" ht="15" customHeight="1" x14ac:dyDescent="0.2">
      <c r="A5" s="11" t="s">
        <v>449</v>
      </c>
      <c r="B5" s="11">
        <f>SUM(C5:G5)</f>
        <v>13</v>
      </c>
      <c r="C5" s="11">
        <f>COUNTIFS('1 CIA-Security Controls'!$L$4:$L$23,"Not started",'1 CIA-Security Controls'!$B$4:$B$23,"Annex A")</f>
        <v>13</v>
      </c>
      <c r="D5" s="11">
        <f>COUNTIFS('1 CIA-Security Controls'!$L$4:$L$23,"In progress",'1 CIA-Security Controls'!$B$4:$B$23,"Annex A")</f>
        <v>0</v>
      </c>
      <c r="E5" s="11">
        <f>COUNTIFS('1 CIA-Security Controls'!$L$4:$L$23,"Implemented",'1 CIA-Security Controls'!$B$4:$B$23,"Annex A")</f>
        <v>0</v>
      </c>
      <c r="F5" s="11">
        <f>COUNTIFS('1 CIA-Security Controls'!$L$4:$L$23,"Verified",'1 CIA-Security Controls'!$B$4:$B$23,"Annex A")</f>
        <v>0</v>
      </c>
      <c r="G5" s="11">
        <f>COUNTIFS('1 CIA-Security Controls'!$L$4:$L$23,"Not applicable",'1 CIA-Security Controls'!$B$4:$B$23,"Annex A")</f>
        <v>0</v>
      </c>
      <c r="H5" s="12">
        <f t="shared" si="0"/>
        <v>0</v>
      </c>
    </row>
    <row r="6" spans="1:8" ht="15" customHeight="1" x14ac:dyDescent="0.2">
      <c r="A6" s="13" t="s">
        <v>450</v>
      </c>
      <c r="B6" s="13">
        <f t="shared" ref="B6:G6" si="1">B4+B5</f>
        <v>18</v>
      </c>
      <c r="C6" s="13">
        <f t="shared" si="1"/>
        <v>18</v>
      </c>
      <c r="D6" s="13">
        <f t="shared" si="1"/>
        <v>0</v>
      </c>
      <c r="E6" s="13">
        <f t="shared" si="1"/>
        <v>0</v>
      </c>
      <c r="F6" s="13">
        <f t="shared" si="1"/>
        <v>0</v>
      </c>
      <c r="G6" s="13">
        <f t="shared" si="1"/>
        <v>0</v>
      </c>
      <c r="H6" s="14">
        <f t="shared" si="0"/>
        <v>0</v>
      </c>
    </row>
    <row r="7" spans="1:8" ht="15" customHeight="1" x14ac:dyDescent="0.2">
      <c r="A7" s="11" t="s">
        <v>451</v>
      </c>
      <c r="B7" s="11">
        <f>SUM(C7:G7)</f>
        <v>27</v>
      </c>
      <c r="C7" s="11">
        <f>COUNTIFS('2 Non-CIA (Other) Controls'!$I$4:$I$57,"Not started",'2 Non-CIA (Other) Controls'!$B$4:$B$57,"Clause")</f>
        <v>27</v>
      </c>
      <c r="D7" s="11">
        <f>COUNTIFS('2 Non-CIA (Other) Controls'!$I$4:$I$57,"In progress",'2 Non-CIA (Other) Controls'!$B$4:$B$57,"Clause")</f>
        <v>0</v>
      </c>
      <c r="E7" s="11">
        <f>COUNTIFS('2 Non-CIA (Other) Controls'!$I$4:$I$57,"Implemented",'2 Non-CIA (Other) Controls'!$B$4:$B$57,"Clause")</f>
        <v>0</v>
      </c>
      <c r="F7" s="11">
        <f>COUNTIFS('2 Non-CIA (Other) Controls'!$I$4:$I$57,"Verified",'2 Non-CIA (Other) Controls'!$B$4:$B$57,"Clause")</f>
        <v>0</v>
      </c>
      <c r="G7" s="11">
        <f>COUNTIFS('2 Non-CIA (Other) Controls'!$I$4:$I$57,"Not applicable",'2 Non-CIA (Other) Controls'!$B$4:$B$57,"Clause")</f>
        <v>0</v>
      </c>
      <c r="H7" s="12">
        <f t="shared" si="0"/>
        <v>0</v>
      </c>
    </row>
    <row r="8" spans="1:8" ht="15" customHeight="1" x14ac:dyDescent="0.2">
      <c r="A8" s="11" t="s">
        <v>452</v>
      </c>
      <c r="B8" s="11">
        <f>SUM(C8:G8)</f>
        <v>25</v>
      </c>
      <c r="C8" s="11">
        <f>COUNTIFS('2 Non-CIA (Other) Controls'!$I$4:$I$57,"Not started",'2 Non-CIA (Other) Controls'!$B$4:$B$57,"Annex A")</f>
        <v>25</v>
      </c>
      <c r="D8" s="11">
        <f>COUNTIFS('2 Non-CIA (Other) Controls'!$I$4:$I$57,"In progress",'2 Non-CIA (Other) Controls'!$B$4:$B$57,"Annex A")</f>
        <v>0</v>
      </c>
      <c r="E8" s="11">
        <f>COUNTIFS('2 Non-CIA (Other) Controls'!$I$4:$I$57,"Implemented",'2 Non-CIA (Other) Controls'!$B$4:$B$57,"Annex A")</f>
        <v>0</v>
      </c>
      <c r="F8" s="11">
        <f>COUNTIFS('2 Non-CIA (Other) Controls'!$I$4:$I$57,"Verified",'2 Non-CIA (Other) Controls'!$B$4:$B$57,"Annex A")</f>
        <v>0</v>
      </c>
      <c r="G8" s="11">
        <f>COUNTIFS('2 Non-CIA (Other) Controls'!$I$4:$I$57,"Not applicable",'2 Non-CIA (Other) Controls'!$B$4:$B$57,"Annex A")</f>
        <v>0</v>
      </c>
      <c r="H8" s="12">
        <f t="shared" si="0"/>
        <v>0</v>
      </c>
    </row>
    <row r="9" spans="1:8" ht="15" customHeight="1" x14ac:dyDescent="0.2">
      <c r="A9" s="13" t="s">
        <v>453</v>
      </c>
      <c r="B9" s="13">
        <f t="shared" ref="B9:G9" si="2">B7+B8</f>
        <v>52</v>
      </c>
      <c r="C9" s="13">
        <f t="shared" si="2"/>
        <v>52</v>
      </c>
      <c r="D9" s="13">
        <f t="shared" si="2"/>
        <v>0</v>
      </c>
      <c r="E9" s="13">
        <f t="shared" si="2"/>
        <v>0</v>
      </c>
      <c r="F9" s="13">
        <f t="shared" si="2"/>
        <v>0</v>
      </c>
      <c r="G9" s="13">
        <f t="shared" si="2"/>
        <v>0</v>
      </c>
      <c r="H9" s="14">
        <f t="shared" si="0"/>
        <v>0</v>
      </c>
    </row>
    <row r="10" spans="1:8" ht="15" customHeight="1" x14ac:dyDescent="0.2">
      <c r="A10" s="13" t="s">
        <v>454</v>
      </c>
      <c r="B10" s="13">
        <f t="shared" ref="B10:G10" si="3">B6+B9</f>
        <v>70</v>
      </c>
      <c r="C10" s="13">
        <f t="shared" si="3"/>
        <v>70</v>
      </c>
      <c r="D10" s="13">
        <f t="shared" si="3"/>
        <v>0</v>
      </c>
      <c r="E10" s="13">
        <f t="shared" si="3"/>
        <v>0</v>
      </c>
      <c r="F10" s="13">
        <f t="shared" si="3"/>
        <v>0</v>
      </c>
      <c r="G10" s="13">
        <f t="shared" si="3"/>
        <v>0</v>
      </c>
      <c r="H10" s="14">
        <f t="shared" si="0"/>
        <v>0</v>
      </c>
    </row>
    <row r="12" spans="1:8" ht="15" customHeight="1" x14ac:dyDescent="0.2">
      <c r="A12" s="10" t="s">
        <v>455</v>
      </c>
      <c r="B12" s="10" t="s">
        <v>456</v>
      </c>
      <c r="C12" s="10"/>
      <c r="D12" s="10"/>
      <c r="E12" s="10"/>
      <c r="F12" s="10"/>
      <c r="G12" s="10"/>
      <c r="H12" s="10"/>
    </row>
    <row r="13" spans="1:8" ht="15" customHeight="1" x14ac:dyDescent="0.2">
      <c r="A13" s="11" t="s">
        <v>457</v>
      </c>
      <c r="B13" s="11">
        <f>COUNTIF('1 CIA-Security Controls'!$E$4:$E$23,"●")</f>
        <v>15</v>
      </c>
    </row>
    <row r="14" spans="1:8" ht="15" customHeight="1" x14ac:dyDescent="0.2">
      <c r="A14" s="11" t="s">
        <v>458</v>
      </c>
      <c r="B14" s="11">
        <f>COUNTIF('1 CIA-Security Controls'!$F$4:$F$23,"●")</f>
        <v>18</v>
      </c>
    </row>
    <row r="15" spans="1:8" ht="15" customHeight="1" x14ac:dyDescent="0.2">
      <c r="A15" s="11" t="s">
        <v>459</v>
      </c>
      <c r="B15" s="11">
        <f>COUNTIF('1 CIA-Security Controls'!$G$4:$G$23,"●")</f>
        <v>15</v>
      </c>
    </row>
    <row r="16" spans="1:8" ht="15" customHeight="1" x14ac:dyDescent="0.2">
      <c r="A16" s="11" t="s">
        <v>460</v>
      </c>
      <c r="B16" s="11">
        <f>COUNTIFS('1 CIA-Security Controls'!$E$4:$E$23,"●",'1 CIA-Security Controls'!$F$4:$F$23,"●",'1 CIA-Security Controls'!$G$4:$G$23,"●")</f>
        <v>14</v>
      </c>
    </row>
    <row r="18" spans="1:8" ht="15" customHeight="1" x14ac:dyDescent="0.2">
      <c r="A18" s="15" t="s">
        <v>461</v>
      </c>
    </row>
    <row r="19" spans="1:8" ht="23.25" customHeight="1" x14ac:dyDescent="0.2">
      <c r="A19" s="10" t="s">
        <v>441</v>
      </c>
      <c r="B19" s="10" t="s">
        <v>442</v>
      </c>
      <c r="C19" s="10" t="s">
        <v>72</v>
      </c>
      <c r="D19" s="10" t="s">
        <v>443</v>
      </c>
      <c r="E19" s="10" t="s">
        <v>444</v>
      </c>
      <c r="F19" s="10" t="s">
        <v>445</v>
      </c>
      <c r="G19" s="10" t="s">
        <v>446</v>
      </c>
      <c r="H19" s="10" t="s">
        <v>447</v>
      </c>
    </row>
    <row r="20" spans="1:8" ht="15" customHeight="1" x14ac:dyDescent="0.2">
      <c r="A20" s="11" t="s">
        <v>462</v>
      </c>
      <c r="B20" s="11">
        <f>SUM(C20:G20)</f>
        <v>34</v>
      </c>
      <c r="C20" s="11">
        <f>COUNTIF('3 EU AI Act'!$K$14:$K$56,"Not started")</f>
        <v>34</v>
      </c>
      <c r="D20" s="11">
        <f>COUNTIF('3 EU AI Act'!$K$14:$K$56,"In progress")</f>
        <v>0</v>
      </c>
      <c r="E20" s="11">
        <f>COUNTIF('3 EU AI Act'!$K$14:$K$56,"Implemented")</f>
        <v>0</v>
      </c>
      <c r="F20" s="11">
        <f>COUNTIF('3 EU AI Act'!$K$14:$K$56,"Verified")</f>
        <v>0</v>
      </c>
      <c r="G20" s="11">
        <f>COUNTIF('3 EU AI Act'!$K$14:$K$56,"Not applicable")</f>
        <v>0</v>
      </c>
      <c r="H20" s="12">
        <f>IFERROR((E20+F20)/(B20-G20),0)</f>
        <v>0</v>
      </c>
    </row>
    <row r="21" spans="1:8" ht="15" customHeight="1" x14ac:dyDescent="0.2">
      <c r="A21" s="11" t="s">
        <v>463</v>
      </c>
      <c r="B21" s="11">
        <f>SUMPRODUCT(--(( '3 EU AI Act'!E14:E56&lt;&gt;"")+('3 EU AI Act'!F14:F56&lt;&gt;"")+('3 EU AI Act'!G14:G56&lt;&gt;"")&gt;0))</f>
        <v>12</v>
      </c>
      <c r="C21" s="11"/>
      <c r="D21" s="11"/>
      <c r="E21" s="11"/>
      <c r="F21" s="11"/>
      <c r="G21" s="11"/>
      <c r="H21" s="12"/>
    </row>
    <row r="23" spans="1:8" ht="15" customHeight="1" x14ac:dyDescent="0.2">
      <c r="A23" s="15" t="s">
        <v>464</v>
      </c>
    </row>
    <row r="24" spans="1:8" ht="23.25" customHeight="1" x14ac:dyDescent="0.2">
      <c r="A24" s="10" t="s">
        <v>441</v>
      </c>
      <c r="B24" s="10" t="s">
        <v>442</v>
      </c>
      <c r="C24" s="10" t="s">
        <v>72</v>
      </c>
      <c r="D24" s="10" t="s">
        <v>443</v>
      </c>
      <c r="E24" s="10" t="s">
        <v>444</v>
      </c>
      <c r="F24" s="10" t="s">
        <v>445</v>
      </c>
      <c r="G24" s="10" t="s">
        <v>446</v>
      </c>
      <c r="H24" s="10" t="s">
        <v>447</v>
      </c>
    </row>
    <row r="25" spans="1:8" ht="15" customHeight="1" x14ac:dyDescent="0.2">
      <c r="A25" s="11" t="s">
        <v>465</v>
      </c>
      <c r="B25" s="11">
        <f>SUM(C25:G25)</f>
        <v>14</v>
      </c>
      <c r="C25" s="11">
        <f>COUNTIF('4 OECD AI Principles'!$J$4:$J$20,"Not started")</f>
        <v>14</v>
      </c>
      <c r="D25" s="11">
        <f>COUNTIF('4 OECD AI Principles'!$J$4:$J$20,"In progress")</f>
        <v>0</v>
      </c>
      <c r="E25" s="11">
        <f>COUNTIF('4 OECD AI Principles'!$J$4:$J$20,"Implemented")</f>
        <v>0</v>
      </c>
      <c r="F25" s="11">
        <f>COUNTIF('4 OECD AI Principles'!$J$4:$J$20,"Verified")</f>
        <v>0</v>
      </c>
      <c r="G25" s="11">
        <f>COUNTIF('4 OECD AI Principles'!$J$4:$J$20,"Not applicable")</f>
        <v>0</v>
      </c>
      <c r="H25" s="12">
        <f>IFERROR((E25+F25)/(B25-G25),0)</f>
        <v>0</v>
      </c>
    </row>
    <row r="26" spans="1:8" ht="15" customHeight="1" x14ac:dyDescent="0.2">
      <c r="A26" s="11" t="s">
        <v>466</v>
      </c>
      <c r="B26" s="11">
        <f>SUMPRODUCT(--(('4 OECD AI Principles'!D4:D20&lt;&gt;"")+('4 OECD AI Principles'!E4:E20&lt;&gt;"")+('4 OECD AI Principles'!F4:F20&lt;&gt;"")&gt;0))</f>
        <v>3</v>
      </c>
      <c r="C26" s="11"/>
      <c r="D26" s="11"/>
      <c r="E26" s="11"/>
      <c r="F26" s="11"/>
      <c r="G26" s="11"/>
      <c r="H26" s="12"/>
    </row>
    <row r="28" spans="1:8" ht="15" customHeight="1" x14ac:dyDescent="0.2">
      <c r="A28" s="15" t="s">
        <v>467</v>
      </c>
    </row>
    <row r="29" spans="1:8" ht="23.25" customHeight="1" x14ac:dyDescent="0.2">
      <c r="A29" s="10" t="s">
        <v>441</v>
      </c>
      <c r="B29" s="10" t="s">
        <v>442</v>
      </c>
      <c r="C29" s="10" t="s">
        <v>72</v>
      </c>
      <c r="D29" s="10" t="s">
        <v>443</v>
      </c>
      <c r="E29" s="10" t="s">
        <v>444</v>
      </c>
      <c r="F29" s="10" t="s">
        <v>445</v>
      </c>
      <c r="G29" s="10" t="s">
        <v>446</v>
      </c>
      <c r="H29" s="10" t="s">
        <v>447</v>
      </c>
    </row>
    <row r="30" spans="1:8" ht="15" customHeight="1" x14ac:dyDescent="0.2">
      <c r="A30" s="11" t="s">
        <v>468</v>
      </c>
      <c r="B30" s="11">
        <f>SUM(C30:G30)</f>
        <v>19</v>
      </c>
      <c r="C30" s="11">
        <f>COUNTIF('5 NIST AI RMF'!$J$4:$J$26,"Not started")</f>
        <v>19</v>
      </c>
      <c r="D30" s="11">
        <f>COUNTIF('5 NIST AI RMF'!$J$4:$J$26,"In progress")</f>
        <v>0</v>
      </c>
      <c r="E30" s="11">
        <f>COUNTIF('5 NIST AI RMF'!$J$4:$J$26,"Implemented")</f>
        <v>0</v>
      </c>
      <c r="F30" s="11">
        <f>COUNTIF('5 NIST AI RMF'!$J$4:$J$26,"Verified")</f>
        <v>0</v>
      </c>
      <c r="G30" s="11">
        <f>COUNTIF('5 NIST AI RMF'!$J$4:$J$26,"Not applicable")</f>
        <v>0</v>
      </c>
      <c r="H30" s="12">
        <f>IFERROR((E30+F30)/(B30-G30),0)</f>
        <v>0</v>
      </c>
    </row>
    <row r="31" spans="1:8" ht="15" customHeight="1" x14ac:dyDescent="0.2">
      <c r="A31" s="11" t="s">
        <v>469</v>
      </c>
      <c r="B31" s="11">
        <f>SUMPRODUCT(--(('5 NIST AI RMF'!D4:D26&lt;&gt;"")+('5 NIST AI RMF'!E4:E26&lt;&gt;"")+('5 NIST AI RMF'!F4:F26&lt;&gt;"")&gt;0))</f>
        <v>6</v>
      </c>
      <c r="C31" s="11"/>
      <c r="D31" s="11"/>
      <c r="E31" s="11"/>
      <c r="F31" s="11"/>
      <c r="G31" s="11"/>
      <c r="H31" s="12"/>
    </row>
    <row r="33" spans="1:8" ht="15" customHeight="1" x14ac:dyDescent="0.2">
      <c r="A33" s="15" t="s">
        <v>470</v>
      </c>
    </row>
    <row r="34" spans="1:8" ht="23.25" customHeight="1" x14ac:dyDescent="0.2">
      <c r="A34" s="10" t="s">
        <v>441</v>
      </c>
      <c r="B34" s="10" t="s">
        <v>442</v>
      </c>
      <c r="C34" s="10" t="s">
        <v>72</v>
      </c>
      <c r="D34" s="10" t="s">
        <v>443</v>
      </c>
      <c r="E34" s="10" t="s">
        <v>444</v>
      </c>
      <c r="F34" s="10" t="s">
        <v>445</v>
      </c>
      <c r="G34" s="10" t="s">
        <v>446</v>
      </c>
      <c r="H34" s="10" t="s">
        <v>447</v>
      </c>
    </row>
    <row r="35" spans="1:8" ht="15" customHeight="1" x14ac:dyDescent="0.2">
      <c r="A35" s="11" t="s">
        <v>471</v>
      </c>
      <c r="B35" s="11">
        <f>SUM(C35:G35)</f>
        <v>21</v>
      </c>
      <c r="C35" s="11">
        <f>COUNTIF('6 ISO 42005 Impact Assessment'!$J$4:$J$28,"Not started")</f>
        <v>21</v>
      </c>
      <c r="D35" s="11">
        <f>COUNTIF('6 ISO 42005 Impact Assessment'!$J$4:$J$28,"In progress")</f>
        <v>0</v>
      </c>
      <c r="E35" s="11">
        <f>COUNTIF('6 ISO 42005 Impact Assessment'!$J$4:$J$28,"Implemented")</f>
        <v>0</v>
      </c>
      <c r="F35" s="11">
        <f>COUNTIF('6 ISO 42005 Impact Assessment'!$J$4:$J$28,"Verified")</f>
        <v>0</v>
      </c>
      <c r="G35" s="11">
        <f>COUNTIF('6 ISO 42005 Impact Assessment'!$J$4:$J$28,"Not applicable")</f>
        <v>0</v>
      </c>
      <c r="H35" s="12">
        <f>IFERROR((E35+F35)/(B35-G35),0)</f>
        <v>0</v>
      </c>
    </row>
    <row r="36" spans="1:8" ht="15" customHeight="1" x14ac:dyDescent="0.2">
      <c r="A36" s="11" t="s">
        <v>472</v>
      </c>
      <c r="B36" s="11">
        <f>SUMPRODUCT(--(('6 ISO 42005 Impact Assessment'!D4:D28&lt;&gt;"")+('6 ISO 42005 Impact Assessment'!E4:E28&lt;&gt;"")+('6 ISO 42005 Impact Assessment'!F4:F28&lt;&gt;"")&gt;0))</f>
        <v>3</v>
      </c>
      <c r="C36" s="11"/>
      <c r="D36" s="11"/>
      <c r="E36" s="11"/>
      <c r="F36" s="11"/>
      <c r="G36" s="11"/>
      <c r="H36" s="12"/>
    </row>
    <row r="38" spans="1:8" ht="15" customHeight="1" x14ac:dyDescent="0.2">
      <c r="A38" s="15" t="s">
        <v>473</v>
      </c>
    </row>
    <row r="39" spans="1:8" ht="23.25" customHeight="1" x14ac:dyDescent="0.2">
      <c r="A39" s="10" t="s">
        <v>441</v>
      </c>
      <c r="B39" s="10" t="s">
        <v>442</v>
      </c>
      <c r="C39" s="10" t="s">
        <v>72</v>
      </c>
      <c r="D39" s="10" t="s">
        <v>443</v>
      </c>
      <c r="E39" s="10" t="s">
        <v>444</v>
      </c>
      <c r="F39" s="10" t="s">
        <v>445</v>
      </c>
      <c r="G39" s="10" t="s">
        <v>446</v>
      </c>
      <c r="H39" s="10" t="s">
        <v>447</v>
      </c>
    </row>
    <row r="40" spans="1:8" ht="15" customHeight="1" x14ac:dyDescent="0.2">
      <c r="A40" s="11" t="s">
        <v>474</v>
      </c>
      <c r="B40" s="11">
        <f>SUM(C40:G40)</f>
        <v>123</v>
      </c>
      <c r="C40" s="11">
        <f>COUNTIF('7 ISO 27001'!$J$4:$J$139,"Not started")</f>
        <v>123</v>
      </c>
      <c r="D40" s="11">
        <f>COUNTIF('7 ISO 27001'!$J$4:$J$139,"In progress")</f>
        <v>0</v>
      </c>
      <c r="E40" s="11">
        <f>COUNTIF('7 ISO 27001'!$J$4:$J$139,"Implemented")</f>
        <v>0</v>
      </c>
      <c r="F40" s="11">
        <f>COUNTIF('7 ISO 27001'!$J$4:$J$139,"Verified")</f>
        <v>0</v>
      </c>
      <c r="G40" s="11">
        <f>COUNTIF('7 ISO 27001'!$J$4:$J$139,"Not applicable")</f>
        <v>0</v>
      </c>
      <c r="H40" s="12">
        <f>IFERROR((E40+F40)/(B40-G40),0)</f>
        <v>0</v>
      </c>
    </row>
    <row r="41" spans="1:8" ht="15" customHeight="1" x14ac:dyDescent="0.2">
      <c r="A41" s="11" t="s">
        <v>475</v>
      </c>
      <c r="B41" s="11">
        <f>SUMPRODUCT(--(('7 ISO 27001'!D4:D139&lt;&gt;"")+('7 ISO 27001'!E4:E139&lt;&gt;"")+('7 ISO 27001'!F4:F139&lt;&gt;"")&gt;0))</f>
        <v>85</v>
      </c>
      <c r="C41" s="11"/>
      <c r="D41" s="11"/>
      <c r="E41" s="11"/>
      <c r="F41" s="11"/>
      <c r="G41" s="11"/>
      <c r="H41" s="12"/>
    </row>
    <row r="43" spans="1:8" ht="15" customHeight="1" x14ac:dyDescent="0.2">
      <c r="A43" s="15" t="s">
        <v>476</v>
      </c>
    </row>
    <row r="44" spans="1:8" ht="23.25" customHeight="1" x14ac:dyDescent="0.2">
      <c r="A44" s="10" t="s">
        <v>441</v>
      </c>
      <c r="B44" s="10" t="s">
        <v>442</v>
      </c>
      <c r="C44" s="10" t="s">
        <v>72</v>
      </c>
      <c r="D44" s="10" t="s">
        <v>443</v>
      </c>
      <c r="E44" s="10" t="s">
        <v>444</v>
      </c>
      <c r="F44" s="10" t="s">
        <v>445</v>
      </c>
      <c r="G44" s="10" t="s">
        <v>446</v>
      </c>
      <c r="H44" s="10" t="s">
        <v>447</v>
      </c>
    </row>
    <row r="45" spans="1:8" ht="15" customHeight="1" x14ac:dyDescent="0.2">
      <c r="A45" s="11" t="s">
        <v>477</v>
      </c>
      <c r="B45" s="11">
        <f>SUM(C45:G45)</f>
        <v>42</v>
      </c>
      <c r="C45" s="11">
        <f>COUNTIF('8 ISO 17021 Alignment'!$L$4:$L$52,"Not started")</f>
        <v>42</v>
      </c>
      <c r="D45" s="11">
        <f>COUNTIF('8 ISO 17021 Alignment'!$L$4:$L$52,"In progress")</f>
        <v>0</v>
      </c>
      <c r="E45" s="11">
        <f>COUNTIF('8 ISO 17021 Alignment'!$L$4:$L$52,"Implemented")</f>
        <v>0</v>
      </c>
      <c r="F45" s="11">
        <f>COUNTIF('8 ISO 17021 Alignment'!$L$4:$L$52,"Verified")</f>
        <v>0</v>
      </c>
      <c r="G45" s="11">
        <f>COUNTIF('8 ISO 17021 Alignment'!$L$4:$L$52,"Not applicable")</f>
        <v>0</v>
      </c>
      <c r="H45" s="12">
        <f>IFERROR((E45+F45)/(B45-G45),0)</f>
        <v>0</v>
      </c>
    </row>
    <row r="46" spans="1:8" ht="15" customHeight="1" x14ac:dyDescent="0.2">
      <c r="A46" s="11" t="s">
        <v>478</v>
      </c>
      <c r="B46" s="11">
        <f>SUMPRODUCT(--(('8 ISO 17021 Alignment'!F4:F52&lt;&gt;"")+('8 ISO 17021 Alignment'!G4:G52&lt;&gt;"")+('8 ISO 17021 Alignment'!H4:H52&lt;&gt;"")&gt;0))</f>
        <v>11</v>
      </c>
      <c r="C46" s="11"/>
      <c r="D46" s="11"/>
      <c r="E46" s="11"/>
      <c r="F46" s="11"/>
      <c r="G46" s="11"/>
      <c r="H46" s="12"/>
    </row>
    <row r="48" spans="1:8" ht="15" customHeight="1" x14ac:dyDescent="0.2">
      <c r="A48" s="15" t="s">
        <v>479</v>
      </c>
    </row>
    <row r="49" spans="1:8" ht="23.25" customHeight="1" x14ac:dyDescent="0.2">
      <c r="A49" s="10" t="s">
        <v>441</v>
      </c>
      <c r="B49" s="10" t="s">
        <v>442</v>
      </c>
      <c r="C49" s="10" t="s">
        <v>72</v>
      </c>
      <c r="D49" s="10" t="s">
        <v>443</v>
      </c>
      <c r="E49" s="10" t="s">
        <v>444</v>
      </c>
      <c r="F49" s="10" t="s">
        <v>445</v>
      </c>
      <c r="G49" s="10" t="s">
        <v>446</v>
      </c>
      <c r="H49" s="10" t="s">
        <v>447</v>
      </c>
    </row>
    <row r="50" spans="1:8" ht="15" customHeight="1" x14ac:dyDescent="0.2">
      <c r="A50" s="11" t="s">
        <v>480</v>
      </c>
      <c r="B50" s="11">
        <f>SUM(C50:G50)</f>
        <v>39</v>
      </c>
      <c r="C50" s="11">
        <f>COUNTIF('9 GDPR'!$J$4:$J$51,"Not started")</f>
        <v>39</v>
      </c>
      <c r="D50" s="11">
        <f>COUNTIF('9 GDPR'!$J$4:$J$51,"In progress")</f>
        <v>0</v>
      </c>
      <c r="E50" s="11">
        <f>COUNTIF('9 GDPR'!$J$4:$J$51,"Implemented")</f>
        <v>0</v>
      </c>
      <c r="F50" s="11">
        <f>COUNTIF('9 GDPR'!$J$4:$J$51,"Verified")</f>
        <v>0</v>
      </c>
      <c r="G50" s="11">
        <f>COUNTIF('9 GDPR'!$J$4:$J$51,"Not applicable")</f>
        <v>0</v>
      </c>
      <c r="H50" s="12">
        <f>IFERROR((E50+F50)/(B50-G50),0)</f>
        <v>0</v>
      </c>
    </row>
    <row r="51" spans="1:8" ht="15" customHeight="1" x14ac:dyDescent="0.2">
      <c r="A51" s="11" t="s">
        <v>481</v>
      </c>
      <c r="B51" s="11">
        <f>SUMPRODUCT(--(('9 GDPR'!D4:D51&lt;&gt;"")+('9 GDPR'!E4:E51&lt;&gt;"")+('9 GDPR'!F4:F51&lt;&gt;"")&gt;0))</f>
        <v>13</v>
      </c>
      <c r="C51" s="11"/>
      <c r="D51" s="11"/>
      <c r="E51" s="11"/>
      <c r="F51" s="11"/>
      <c r="G51" s="11"/>
      <c r="H51" s="12"/>
    </row>
    <row r="53" spans="1:8" ht="15" customHeight="1" x14ac:dyDescent="0.2">
      <c r="A53" s="15" t="s">
        <v>482</v>
      </c>
    </row>
    <row r="54" spans="1:8" ht="23.25" customHeight="1" x14ac:dyDescent="0.2">
      <c r="A54" s="10" t="s">
        <v>441</v>
      </c>
      <c r="B54" s="10" t="s">
        <v>442</v>
      </c>
      <c r="C54" s="10" t="s">
        <v>72</v>
      </c>
      <c r="D54" s="10" t="s">
        <v>443</v>
      </c>
      <c r="E54" s="10" t="s">
        <v>444</v>
      </c>
      <c r="F54" s="10" t="s">
        <v>445</v>
      </c>
      <c r="G54" s="10" t="s">
        <v>446</v>
      </c>
      <c r="H54" s="10" t="s">
        <v>447</v>
      </c>
    </row>
    <row r="55" spans="1:8" ht="15" customHeight="1" x14ac:dyDescent="0.2">
      <c r="A55" s="11" t="s">
        <v>483</v>
      </c>
      <c r="B55" s="11">
        <f>SUM(C55:G55)</f>
        <v>10</v>
      </c>
      <c r="C55" s="11">
        <f>COUNTIF('10 OWASP LLM Top 10'!$K$4:$K$13,"Not started")</f>
        <v>10</v>
      </c>
      <c r="D55" s="11">
        <f>COUNTIF('10 OWASP LLM Top 10'!$K$4:$K$13,"In progress")</f>
        <v>0</v>
      </c>
      <c r="E55" s="11">
        <f>COUNTIF('10 OWASP LLM Top 10'!$K$4:$K$13,"Implemented")</f>
        <v>0</v>
      </c>
      <c r="F55" s="11">
        <f>COUNTIF('10 OWASP LLM Top 10'!$K$4:$K$13,"Verified")</f>
        <v>0</v>
      </c>
      <c r="G55" s="11">
        <f>COUNTIF('10 OWASP LLM Top 10'!$K$4:$K$13,"Not applicable")</f>
        <v>0</v>
      </c>
      <c r="H55" s="12">
        <f>IFERROR((E55+F55)/(B55-G55),0)</f>
        <v>0</v>
      </c>
    </row>
    <row r="57" spans="1:8" ht="15" customHeight="1" x14ac:dyDescent="0.2">
      <c r="A57" s="15" t="s">
        <v>484</v>
      </c>
    </row>
    <row r="58" spans="1:8" ht="23.25" customHeight="1" x14ac:dyDescent="0.2">
      <c r="A58" s="10" t="s">
        <v>441</v>
      </c>
      <c r="B58" s="10" t="s">
        <v>442</v>
      </c>
      <c r="C58" s="10" t="s">
        <v>72</v>
      </c>
      <c r="D58" s="10" t="s">
        <v>443</v>
      </c>
      <c r="E58" s="10" t="s">
        <v>444</v>
      </c>
      <c r="F58" s="10" t="s">
        <v>445</v>
      </c>
      <c r="G58" s="10" t="s">
        <v>446</v>
      </c>
      <c r="H58" s="10" t="s">
        <v>447</v>
      </c>
    </row>
    <row r="59" spans="1:8" ht="15" customHeight="1" x14ac:dyDescent="0.2">
      <c r="A59" s="11" t="s">
        <v>485</v>
      </c>
      <c r="B59" s="11">
        <f>SUM(C59:G59)</f>
        <v>22</v>
      </c>
      <c r="C59" s="11">
        <f>COUNTIF('11 ISO 27701 PIMS'!$J$4:$J$29,"Not started")</f>
        <v>22</v>
      </c>
      <c r="D59" s="11">
        <f>COUNTIF('11 ISO 27701 PIMS'!$J$4:$J$29,"In progress")</f>
        <v>0</v>
      </c>
      <c r="E59" s="11">
        <f>COUNTIF('11 ISO 27701 PIMS'!$J$4:$J$29,"Implemented")</f>
        <v>0</v>
      </c>
      <c r="F59" s="11">
        <f>COUNTIF('11 ISO 27701 PIMS'!$J$4:$J$29,"Verified")</f>
        <v>0</v>
      </c>
      <c r="G59" s="11">
        <f>COUNTIF('11 ISO 27701 PIMS'!$J$4:$J$29,"Not applicable")</f>
        <v>0</v>
      </c>
      <c r="H59" s="12">
        <f>IFERROR((E59+F59)/(B59-G59),0)</f>
        <v>0</v>
      </c>
    </row>
    <row r="60" spans="1:8" ht="15" customHeight="1" x14ac:dyDescent="0.2">
      <c r="A60" s="11" t="s">
        <v>486</v>
      </c>
      <c r="B60" s="11">
        <f>SUMPRODUCT(--(('11 ISO 27701 PIMS'!D4:D29&lt;&gt;"")+('11 ISO 27701 PIMS'!E4:E29&lt;&gt;"")+('11 ISO 27701 PIMS'!F4:F29&lt;&gt;"")&gt;0))</f>
        <v>7</v>
      </c>
      <c r="C60" s="11"/>
      <c r="D60" s="11"/>
      <c r="E60" s="11"/>
      <c r="F60" s="11"/>
      <c r="G60" s="11"/>
      <c r="H60" s="12"/>
    </row>
    <row r="62" spans="1:8" ht="15" customHeight="1" x14ac:dyDescent="0.2">
      <c r="A62" s="15" t="s">
        <v>487</v>
      </c>
    </row>
    <row r="63" spans="1:8" ht="23.25" customHeight="1" x14ac:dyDescent="0.2">
      <c r="A63" s="10" t="s">
        <v>441</v>
      </c>
      <c r="B63" s="10" t="s">
        <v>442</v>
      </c>
      <c r="C63" s="10" t="s">
        <v>72</v>
      </c>
      <c r="D63" s="10" t="s">
        <v>443</v>
      </c>
      <c r="E63" s="10" t="s">
        <v>444</v>
      </c>
      <c r="F63" s="10" t="s">
        <v>445</v>
      </c>
      <c r="G63" s="10" t="s">
        <v>446</v>
      </c>
      <c r="H63" s="10" t="s">
        <v>447</v>
      </c>
    </row>
    <row r="64" spans="1:8" ht="15" customHeight="1" x14ac:dyDescent="0.2">
      <c r="A64" s="11" t="s">
        <v>488</v>
      </c>
      <c r="B64" s="11">
        <f>SUM(C64:G64)</f>
        <v>557</v>
      </c>
      <c r="C64" s="11">
        <f>COUNTIF('12 Master Control List'!$J$4:$J$592,"Not started")</f>
        <v>557</v>
      </c>
      <c r="D64" s="11">
        <f>COUNTIF('12 Master Control List'!$J$4:$J$592,"In progress")</f>
        <v>0</v>
      </c>
      <c r="E64" s="11">
        <f>COUNTIF('12 Master Control List'!$J$4:$J$592,"Implemented")</f>
        <v>0</v>
      </c>
      <c r="F64" s="11">
        <f>COUNTIF('12 Master Control List'!$J$4:$J$592,"Verified")</f>
        <v>0</v>
      </c>
      <c r="G64" s="11">
        <f>COUNTIF('12 Master Control List'!$J$4:$J$592,"Not applicable")</f>
        <v>0</v>
      </c>
      <c r="H64" s="12">
        <f>IFERROR((E64+F64)/(B64-G64),0)</f>
        <v>0</v>
      </c>
    </row>
    <row r="65" spans="1:8" ht="15" customHeight="1" x14ac:dyDescent="0.2">
      <c r="A65" s="16" t="s">
        <v>489</v>
      </c>
      <c r="B65" s="16">
        <v>32</v>
      </c>
    </row>
    <row r="67" spans="1:8" ht="15" customHeight="1" x14ac:dyDescent="0.2">
      <c r="A67" s="15" t="s">
        <v>490</v>
      </c>
    </row>
    <row r="68" spans="1:8" ht="23.25" customHeight="1" x14ac:dyDescent="0.2">
      <c r="A68" s="10" t="s">
        <v>441</v>
      </c>
      <c r="B68" s="10" t="s">
        <v>442</v>
      </c>
      <c r="C68" s="10" t="s">
        <v>72</v>
      </c>
      <c r="D68" s="10" t="s">
        <v>443</v>
      </c>
      <c r="E68" s="10" t="s">
        <v>444</v>
      </c>
      <c r="F68" s="10" t="s">
        <v>445</v>
      </c>
      <c r="G68" s="10" t="s">
        <v>446</v>
      </c>
      <c r="H68" s="10" t="s">
        <v>447</v>
      </c>
    </row>
    <row r="69" spans="1:8" ht="15" customHeight="1" x14ac:dyDescent="0.2">
      <c r="A69" s="11" t="s">
        <v>491</v>
      </c>
      <c r="B69" s="11">
        <f>SUM(C69:G69)</f>
        <v>20</v>
      </c>
      <c r="C69" s="11">
        <f>COUNTIF('14 Privacy by Design'!$J$4:$J$30,"Not started")</f>
        <v>20</v>
      </c>
      <c r="D69" s="11">
        <f>COUNTIF('14 Privacy by Design'!$J$4:$J$30,"In progress")</f>
        <v>0</v>
      </c>
      <c r="E69" s="11">
        <f>COUNTIF('14 Privacy by Design'!$J$4:$J$30,"Implemented")</f>
        <v>0</v>
      </c>
      <c r="F69" s="11">
        <f>COUNTIF('14 Privacy by Design'!$J$4:$J$30,"Verified")</f>
        <v>0</v>
      </c>
      <c r="G69" s="11">
        <f>COUNTIF('14 Privacy by Design'!$J$4:$J$30,"Not applicable")</f>
        <v>0</v>
      </c>
      <c r="H69" s="12">
        <f>IFERROR((E69+F69)/(B69-G69),0)</f>
        <v>0</v>
      </c>
    </row>
    <row r="70" spans="1:8" ht="15" customHeight="1" x14ac:dyDescent="0.2">
      <c r="A70" s="11" t="s">
        <v>492</v>
      </c>
      <c r="B70" s="11">
        <f>SUMPRODUCT(--(('14 Privacy by Design'!D4:D30&lt;&gt;"")+('14 Privacy by Design'!E4:E30&lt;&gt;"")+('14 Privacy by Design'!F4:F30&lt;&gt;"")&gt;0))</f>
        <v>9</v>
      </c>
      <c r="C70" s="11"/>
      <c r="D70" s="11"/>
      <c r="E70" s="11"/>
      <c r="F70" s="11"/>
      <c r="G70" s="11"/>
      <c r="H70" s="12"/>
    </row>
    <row r="72" spans="1:8" ht="15" customHeight="1" x14ac:dyDescent="0.2">
      <c r="A72" s="15" t="s">
        <v>493</v>
      </c>
    </row>
    <row r="73" spans="1:8" ht="23.25" customHeight="1" x14ac:dyDescent="0.2">
      <c r="A73" s="10" t="s">
        <v>441</v>
      </c>
      <c r="B73" s="10" t="s">
        <v>442</v>
      </c>
      <c r="C73" s="10" t="s">
        <v>72</v>
      </c>
      <c r="D73" s="10" t="s">
        <v>443</v>
      </c>
      <c r="E73" s="10" t="s">
        <v>444</v>
      </c>
      <c r="F73" s="10" t="s">
        <v>445</v>
      </c>
      <c r="G73" s="10" t="s">
        <v>446</v>
      </c>
      <c r="H73" s="10" t="s">
        <v>447</v>
      </c>
    </row>
    <row r="74" spans="1:8" ht="15" customHeight="1" x14ac:dyDescent="0.2">
      <c r="A74" s="11" t="s">
        <v>494</v>
      </c>
      <c r="B74" s="11">
        <f>SUM(C74:G74)</f>
        <v>28</v>
      </c>
      <c r="C74" s="11">
        <f>COUNTIF('15 ISO 31700 PbD (Consumer)'!$J$4:$J$37,"Not started")</f>
        <v>28</v>
      </c>
      <c r="D74" s="11">
        <f>COUNTIF('15 ISO 31700 PbD (Consumer)'!$J$4:$J$37,"In progress")</f>
        <v>0</v>
      </c>
      <c r="E74" s="11">
        <f>COUNTIF('15 ISO 31700 PbD (Consumer)'!$J$4:$J$37,"Implemented")</f>
        <v>0</v>
      </c>
      <c r="F74" s="11">
        <f>COUNTIF('15 ISO 31700 PbD (Consumer)'!$J$4:$J$37,"Verified")</f>
        <v>0</v>
      </c>
      <c r="G74" s="11">
        <f>COUNTIF('15 ISO 31700 PbD (Consumer)'!$J$4:$J$37,"Not applicable")</f>
        <v>0</v>
      </c>
      <c r="H74" s="12">
        <f>IFERROR((E74+F74)/(B74-G74),0)</f>
        <v>0</v>
      </c>
    </row>
    <row r="75" spans="1:8" ht="15" customHeight="1" x14ac:dyDescent="0.2">
      <c r="A75" s="11" t="s">
        <v>495</v>
      </c>
      <c r="B75" s="11">
        <f>SUMPRODUCT(--(('15 ISO 31700 PbD (Consumer)'!D4:D37&lt;&gt;"")+('15 ISO 31700 PbD (Consumer)'!E4:E37&lt;&gt;"")+('15 ISO 31700 PbD (Consumer)'!F4:F37&lt;&gt;"")&gt;0))</f>
        <v>14</v>
      </c>
      <c r="C75" s="11"/>
      <c r="D75" s="11"/>
      <c r="E75" s="11"/>
      <c r="F75" s="11"/>
      <c r="G75" s="11"/>
      <c r="H75" s="12"/>
    </row>
    <row r="77" spans="1:8" ht="15" customHeight="1" x14ac:dyDescent="0.2">
      <c r="A77" s="15" t="s">
        <v>496</v>
      </c>
    </row>
    <row r="78" spans="1:8" ht="23.25" customHeight="1" x14ac:dyDescent="0.2">
      <c r="A78" s="10" t="s">
        <v>441</v>
      </c>
      <c r="B78" s="10" t="s">
        <v>442</v>
      </c>
      <c r="C78" s="10" t="s">
        <v>72</v>
      </c>
      <c r="D78" s="10" t="s">
        <v>443</v>
      </c>
      <c r="E78" s="10" t="s">
        <v>444</v>
      </c>
      <c r="F78" s="10" t="s">
        <v>445</v>
      </c>
      <c r="G78" s="10" t="s">
        <v>446</v>
      </c>
      <c r="H78" s="10" t="s">
        <v>447</v>
      </c>
    </row>
    <row r="79" spans="1:8" ht="15" customHeight="1" x14ac:dyDescent="0.2">
      <c r="A79" s="11" t="s">
        <v>497</v>
      </c>
      <c r="B79" s="11">
        <f>SUM(C79:G79)</f>
        <v>29</v>
      </c>
      <c r="C79" s="11">
        <f>COUNTIF('16 DORA'!$J$4:$J$40,"Not started")</f>
        <v>29</v>
      </c>
      <c r="D79" s="11">
        <f>COUNTIF('16 DORA'!$J$4:$J$40,"In progress")</f>
        <v>0</v>
      </c>
      <c r="E79" s="11">
        <f>COUNTIF('16 DORA'!$J$4:$J$40,"Implemented")</f>
        <v>0</v>
      </c>
      <c r="F79" s="11">
        <f>COUNTIF('16 DORA'!$J$4:$J$40,"Verified")</f>
        <v>0</v>
      </c>
      <c r="G79" s="11">
        <f>COUNTIF('16 DORA'!$J$4:$J$40,"Not applicable")</f>
        <v>0</v>
      </c>
      <c r="H79" s="12">
        <f>IFERROR((E79+F79)/(B79-G79),0)</f>
        <v>0</v>
      </c>
    </row>
    <row r="80" spans="1:8" ht="15" customHeight="1" x14ac:dyDescent="0.2">
      <c r="A80" s="11" t="s">
        <v>498</v>
      </c>
      <c r="B80" s="11">
        <f>SUMPRODUCT(--(('16 DORA'!D4:D40&lt;&gt;"")+('16 DORA'!E4:E40&lt;&gt;"")+('16 DORA'!F4:F40&lt;&gt;"")&gt;0))</f>
        <v>18</v>
      </c>
      <c r="C80" s="11"/>
      <c r="D80" s="11"/>
      <c r="E80" s="11"/>
      <c r="F80" s="11"/>
      <c r="G80" s="11"/>
      <c r="H80" s="12"/>
    </row>
    <row r="82" spans="1:8" ht="15" customHeight="1" x14ac:dyDescent="0.2">
      <c r="A82" s="15" t="s">
        <v>499</v>
      </c>
    </row>
    <row r="83" spans="1:8" ht="23.25" customHeight="1" x14ac:dyDescent="0.2">
      <c r="A83" s="10" t="s">
        <v>441</v>
      </c>
      <c r="B83" s="10" t="s">
        <v>442</v>
      </c>
      <c r="C83" s="10" t="s">
        <v>72</v>
      </c>
      <c r="D83" s="10" t="s">
        <v>443</v>
      </c>
      <c r="E83" s="10" t="s">
        <v>444</v>
      </c>
      <c r="F83" s="10" t="s">
        <v>445</v>
      </c>
      <c r="G83" s="10" t="s">
        <v>446</v>
      </c>
      <c r="H83" s="10" t="s">
        <v>447</v>
      </c>
    </row>
    <row r="84" spans="1:8" ht="15" customHeight="1" x14ac:dyDescent="0.2">
      <c r="A84" s="11" t="s">
        <v>500</v>
      </c>
      <c r="B84" s="11">
        <f>SUM(C84:G84)</f>
        <v>14</v>
      </c>
      <c r="C84" s="11">
        <f>COUNTIF('17 NIST ARIA'!$J$4:$J$23,"Not started")</f>
        <v>14</v>
      </c>
      <c r="D84" s="11">
        <f>COUNTIF('17 NIST ARIA'!$J$4:$J$23,"In progress")</f>
        <v>0</v>
      </c>
      <c r="E84" s="11">
        <f>COUNTIF('17 NIST ARIA'!$J$4:$J$23,"Implemented")</f>
        <v>0</v>
      </c>
      <c r="F84" s="11">
        <f>COUNTIF('17 NIST ARIA'!$J$4:$J$23,"Verified")</f>
        <v>0</v>
      </c>
      <c r="G84" s="11">
        <f>COUNTIF('17 NIST ARIA'!$J$4:$J$23,"Not applicable")</f>
        <v>0</v>
      </c>
      <c r="H84" s="12">
        <f>IFERROR((E84+F84)/(B84-G84),0)</f>
        <v>0</v>
      </c>
    </row>
    <row r="85" spans="1:8" ht="15" customHeight="1" x14ac:dyDescent="0.2">
      <c r="A85" s="11" t="s">
        <v>501</v>
      </c>
      <c r="B85" s="11">
        <f>SUMPRODUCT(--(('17 NIST ARIA'!D4:D23&lt;&gt;"")+('17 NIST ARIA'!E4:E23&lt;&gt;"")+('17 NIST ARIA'!F4:F23&lt;&gt;"")&gt;0))</f>
        <v>6</v>
      </c>
      <c r="C85" s="11"/>
      <c r="D85" s="11"/>
      <c r="E85" s="11"/>
      <c r="F85" s="11"/>
      <c r="G85" s="11"/>
      <c r="H85" s="12"/>
    </row>
    <row r="87" spans="1:8" ht="15" customHeight="1" x14ac:dyDescent="0.2">
      <c r="A87" s="15" t="s">
        <v>502</v>
      </c>
    </row>
    <row r="88" spans="1:8" ht="23.25" customHeight="1" x14ac:dyDescent="0.2">
      <c r="A88" s="10" t="s">
        <v>441</v>
      </c>
      <c r="B88" s="10" t="s">
        <v>442</v>
      </c>
      <c r="C88" s="10" t="s">
        <v>72</v>
      </c>
      <c r="D88" s="10" t="s">
        <v>443</v>
      </c>
      <c r="E88" s="10" t="s">
        <v>444</v>
      </c>
      <c r="F88" s="10" t="s">
        <v>445</v>
      </c>
      <c r="G88" s="10" t="s">
        <v>446</v>
      </c>
      <c r="H88" s="10" t="s">
        <v>447</v>
      </c>
    </row>
    <row r="89" spans="1:8" ht="15" customHeight="1" x14ac:dyDescent="0.2">
      <c r="A89" s="11" t="s">
        <v>503</v>
      </c>
      <c r="B89" s="11">
        <f>SUM(C89:G89)</f>
        <v>24</v>
      </c>
      <c r="C89" s="11">
        <f>COUNTIF('18 FAIR Risk Methodology'!$J$4:$J$30,"Not started")</f>
        <v>24</v>
      </c>
      <c r="D89" s="11">
        <f>COUNTIF('18 FAIR Risk Methodology'!$J$4:$J$30,"In progress")</f>
        <v>0</v>
      </c>
      <c r="E89" s="11">
        <f>COUNTIF('18 FAIR Risk Methodology'!$J$4:$J$30,"Implemented")</f>
        <v>0</v>
      </c>
      <c r="F89" s="11">
        <f>COUNTIF('18 FAIR Risk Methodology'!$J$4:$J$30,"Verified")</f>
        <v>0</v>
      </c>
      <c r="G89" s="11">
        <f>COUNTIF('18 FAIR Risk Methodology'!$J$4:$J$30,"Not applicable")</f>
        <v>0</v>
      </c>
      <c r="H89" s="12">
        <f>IFERROR((E89+F89)/(B89-G89),0)</f>
        <v>0</v>
      </c>
    </row>
    <row r="90" spans="1:8" ht="15" customHeight="1" x14ac:dyDescent="0.2">
      <c r="A90" s="11" t="s">
        <v>504</v>
      </c>
      <c r="B90" s="11">
        <f>SUMPRODUCT(--(('18 FAIR Risk Methodology'!D4:D30&lt;&gt;"")+('18 FAIR Risk Methodology'!E4:E30&lt;&gt;"")+('18 FAIR Risk Methodology'!F4:F30&lt;&gt;"")&gt;0))</f>
        <v>13</v>
      </c>
      <c r="C90" s="11"/>
      <c r="D90" s="11"/>
      <c r="E90" s="11"/>
      <c r="F90" s="11"/>
      <c r="G90" s="11"/>
      <c r="H90" s="12"/>
    </row>
    <row r="92" spans="1:8" ht="15" customHeight="1" x14ac:dyDescent="0.2">
      <c r="A92" s="15" t="s">
        <v>505</v>
      </c>
    </row>
    <row r="93" spans="1:8" ht="23.25" customHeight="1" x14ac:dyDescent="0.2">
      <c r="A93" s="10" t="s">
        <v>441</v>
      </c>
      <c r="B93" s="10" t="s">
        <v>442</v>
      </c>
      <c r="C93" s="10" t="s">
        <v>72</v>
      </c>
      <c r="D93" s="10" t="s">
        <v>443</v>
      </c>
      <c r="E93" s="10" t="s">
        <v>444</v>
      </c>
      <c r="F93" s="10" t="s">
        <v>445</v>
      </c>
      <c r="G93" s="10" t="s">
        <v>446</v>
      </c>
      <c r="H93" s="10" t="s">
        <v>447</v>
      </c>
    </row>
    <row r="94" spans="1:8" ht="15" customHeight="1" x14ac:dyDescent="0.2">
      <c r="A94" s="11" t="s">
        <v>506</v>
      </c>
      <c r="B94" s="11">
        <f>SUM(C94:G94)</f>
        <v>13</v>
      </c>
      <c r="C94" s="11">
        <f>COUNTIF('20 ISO 5181 Data Provenance'!$J$4:$J$19,"Not started")</f>
        <v>13</v>
      </c>
      <c r="D94" s="11">
        <f>COUNTIF('20 ISO 5181 Data Provenance'!$J$4:$J$19,"In progress")</f>
        <v>0</v>
      </c>
      <c r="E94" s="11">
        <f>COUNTIF('20 ISO 5181 Data Provenance'!$J$4:$J$19,"Implemented")</f>
        <v>0</v>
      </c>
      <c r="F94" s="11">
        <f>COUNTIF('20 ISO 5181 Data Provenance'!$J$4:$J$19,"Verified")</f>
        <v>0</v>
      </c>
      <c r="G94" s="11">
        <f>COUNTIF('20 ISO 5181 Data Provenance'!$J$4:$J$19,"Not applicable")</f>
        <v>0</v>
      </c>
      <c r="H94" s="12">
        <f>IFERROR((E94+F94)/(B94-G94),0)</f>
        <v>0</v>
      </c>
    </row>
    <row r="95" spans="1:8" ht="15" customHeight="1" x14ac:dyDescent="0.2">
      <c r="A95" s="11" t="s">
        <v>507</v>
      </c>
      <c r="B95" s="11">
        <f>SUMPRODUCT(--(('20 ISO 5181 Data Provenance'!D4:D19&lt;&gt;"")+('20 ISO 5181 Data Provenance'!E4:E19&lt;&gt;"")+('20 ISO 5181 Data Provenance'!F4:F19&lt;&gt;"")&gt;0))</f>
        <v>8</v>
      </c>
      <c r="C95" s="11"/>
      <c r="D95" s="11"/>
      <c r="E95" s="11"/>
      <c r="F95" s="11"/>
      <c r="G95" s="11"/>
      <c r="H95" s="12"/>
    </row>
    <row r="97" spans="1:8" ht="15" customHeight="1" x14ac:dyDescent="0.2">
      <c r="A97" s="15" t="s">
        <v>508</v>
      </c>
    </row>
    <row r="98" spans="1:8" ht="23.25" customHeight="1" x14ac:dyDescent="0.2">
      <c r="A98" s="10" t="s">
        <v>441</v>
      </c>
      <c r="B98" s="10" t="s">
        <v>442</v>
      </c>
      <c r="C98" s="10" t="s">
        <v>72</v>
      </c>
      <c r="D98" s="10" t="s">
        <v>443</v>
      </c>
      <c r="E98" s="10" t="s">
        <v>444</v>
      </c>
      <c r="F98" s="10" t="s">
        <v>445</v>
      </c>
      <c r="G98" s="10" t="s">
        <v>446</v>
      </c>
      <c r="H98" s="10" t="s">
        <v>447</v>
      </c>
    </row>
    <row r="99" spans="1:8" ht="15" customHeight="1" x14ac:dyDescent="0.2">
      <c r="A99" s="11" t="s">
        <v>509</v>
      </c>
      <c r="B99" s="11">
        <f>SUM(C99:G99)</f>
        <v>17</v>
      </c>
      <c r="C99" s="11">
        <f>COUNTIF('21 ISO 27090 AI Threats'!$J$4:$J$24,"Not started")</f>
        <v>17</v>
      </c>
      <c r="D99" s="11">
        <f>COUNTIF('21 ISO 27090 AI Threats'!$J$4:$J$24,"In progress")</f>
        <v>0</v>
      </c>
      <c r="E99" s="11">
        <f>COUNTIF('21 ISO 27090 AI Threats'!$J$4:$J$24,"Implemented")</f>
        <v>0</v>
      </c>
      <c r="F99" s="11">
        <f>COUNTIF('21 ISO 27090 AI Threats'!$J$4:$J$24,"Verified")</f>
        <v>0</v>
      </c>
      <c r="G99" s="11">
        <f>COUNTIF('21 ISO 27090 AI Threats'!$J$4:$J$24,"Not applicable")</f>
        <v>0</v>
      </c>
      <c r="H99" s="12">
        <f>IFERROR((E99+F99)/(B99-G99),0)</f>
        <v>0</v>
      </c>
    </row>
    <row r="100" spans="1:8" ht="15" customHeight="1" x14ac:dyDescent="0.2">
      <c r="A100" s="11" t="s">
        <v>510</v>
      </c>
      <c r="B100" s="11">
        <f>SUMPRODUCT(--(('21 ISO 27090 AI Threats'!D4:D24&lt;&gt;"")+('21 ISO 27090 AI Threats'!E4:E24&lt;&gt;"")+('21 ISO 27090 AI Threats'!F4:F24&lt;&gt;"")&gt;0))</f>
        <v>12</v>
      </c>
      <c r="C100" s="11"/>
      <c r="D100" s="11"/>
      <c r="E100" s="11"/>
      <c r="F100" s="11"/>
      <c r="G100" s="11"/>
      <c r="H100" s="12"/>
    </row>
    <row r="102" spans="1:8" ht="15" customHeight="1" x14ac:dyDescent="0.2">
      <c r="A102" s="15" t="s">
        <v>11</v>
      </c>
    </row>
    <row r="103" spans="1:8" ht="23.25" customHeight="1" x14ac:dyDescent="0.2">
      <c r="A103" s="10" t="s">
        <v>441</v>
      </c>
      <c r="B103" s="10" t="s">
        <v>442</v>
      </c>
      <c r="C103" s="10" t="s">
        <v>72</v>
      </c>
      <c r="D103" s="10" t="s">
        <v>443</v>
      </c>
      <c r="E103" s="10" t="s">
        <v>444</v>
      </c>
      <c r="F103" s="10" t="s">
        <v>445</v>
      </c>
      <c r="G103" s="10" t="s">
        <v>446</v>
      </c>
      <c r="H103" s="10" t="s">
        <v>447</v>
      </c>
    </row>
    <row r="104" spans="1:8" ht="15" customHeight="1" x14ac:dyDescent="0.2">
      <c r="A104" s="11" t="s">
        <v>511</v>
      </c>
      <c r="B104" s="11">
        <f>SUM(C104:G104)</f>
        <v>18</v>
      </c>
      <c r="C104" s="11">
        <f>COUNTIF('22 MITRE ATLAS'!$J$4:$J$23,"Not started")</f>
        <v>18</v>
      </c>
      <c r="D104" s="11">
        <f>COUNTIF('22 MITRE ATLAS'!$J$4:$J$23,"In progress")</f>
        <v>0</v>
      </c>
      <c r="E104" s="11">
        <f>COUNTIF('22 MITRE ATLAS'!$J$4:$J$23,"Implemented")</f>
        <v>0</v>
      </c>
      <c r="F104" s="11">
        <f>COUNTIF('22 MITRE ATLAS'!$J$4:$J$23,"Verified")</f>
        <v>0</v>
      </c>
      <c r="G104" s="11">
        <f>COUNTIF('22 MITRE ATLAS'!$J$4:$J$23,"Not applicable")</f>
        <v>0</v>
      </c>
      <c r="H104" s="12">
        <f>IFERROR((E104+F104)/(B104-G104),0)</f>
        <v>0</v>
      </c>
    </row>
    <row r="105" spans="1:8" ht="15" customHeight="1" x14ac:dyDescent="0.2">
      <c r="A105" s="11" t="s">
        <v>512</v>
      </c>
      <c r="B105" s="11">
        <f>SUMPRODUCT(--(('22 MITRE ATLAS'!D4:D23&lt;&gt;"")+('22 MITRE ATLAS'!E4:E23&lt;&gt;"")+('22 MITRE ATLAS'!F4:F23&lt;&gt;"")&gt;0))</f>
        <v>15</v>
      </c>
      <c r="C105" s="11"/>
      <c r="D105" s="11"/>
      <c r="E105" s="11"/>
      <c r="F105" s="11"/>
      <c r="G105" s="11"/>
      <c r="H105" s="12"/>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1"/>
  <sheetViews>
    <sheetView zoomScaleNormal="100" workbookViewId="0">
      <selection activeCell="B9" sqref="B9"/>
    </sheetView>
  </sheetViews>
  <sheetFormatPr baseColWidth="10" defaultColWidth="8.6640625" defaultRowHeight="15" x14ac:dyDescent="0.2"/>
  <cols>
    <col min="1" max="1" width="130" customWidth="1"/>
  </cols>
  <sheetData>
    <row r="1" spans="1:1" ht="17.25" customHeight="1" x14ac:dyDescent="0.2">
      <c r="A1" s="1" t="s">
        <v>17</v>
      </c>
    </row>
    <row r="2" spans="1:1" ht="15" customHeight="1" x14ac:dyDescent="0.2">
      <c r="A2" s="2"/>
    </row>
    <row r="3" spans="1:1" ht="15" customHeight="1" x14ac:dyDescent="0.2">
      <c r="A3" s="2" t="s">
        <v>18</v>
      </c>
    </row>
    <row r="4" spans="1:1" ht="34.5" customHeight="1" x14ac:dyDescent="0.2">
      <c r="A4" s="2" t="s">
        <v>19</v>
      </c>
    </row>
    <row r="5" spans="1:1" ht="34.5" customHeight="1" x14ac:dyDescent="0.2">
      <c r="A5" s="2" t="s">
        <v>20</v>
      </c>
    </row>
    <row r="6" spans="1:1" ht="34.5" customHeight="1" x14ac:dyDescent="0.2">
      <c r="A6" s="2" t="s">
        <v>21</v>
      </c>
    </row>
    <row r="7" spans="1:1" ht="23.25" customHeight="1" x14ac:dyDescent="0.2">
      <c r="A7" s="2" t="s">
        <v>22</v>
      </c>
    </row>
    <row r="8" spans="1:1" ht="23.25" customHeight="1" x14ac:dyDescent="0.2">
      <c r="A8" s="2" t="s">
        <v>23</v>
      </c>
    </row>
    <row r="9" spans="1:1" ht="15" customHeight="1" x14ac:dyDescent="0.2">
      <c r="A9" s="2" t="s">
        <v>24</v>
      </c>
    </row>
    <row r="10" spans="1:1" ht="34.5" customHeight="1" x14ac:dyDescent="0.2">
      <c r="A10" s="2" t="s">
        <v>25</v>
      </c>
    </row>
    <row r="11" spans="1:1" ht="23.25" customHeight="1" x14ac:dyDescent="0.2">
      <c r="A11" s="2" t="s">
        <v>26</v>
      </c>
    </row>
    <row r="12" spans="1:1" ht="45.75" customHeight="1" x14ac:dyDescent="0.2">
      <c r="A12" s="2" t="s">
        <v>27</v>
      </c>
    </row>
    <row r="13" spans="1:1" ht="57" customHeight="1" x14ac:dyDescent="0.2">
      <c r="A13" s="2" t="s">
        <v>28</v>
      </c>
    </row>
    <row r="14" spans="1:1" ht="45.75" customHeight="1" x14ac:dyDescent="0.2">
      <c r="A14" s="2" t="s">
        <v>29</v>
      </c>
    </row>
    <row r="15" spans="1:1" ht="68.25" customHeight="1" x14ac:dyDescent="0.2">
      <c r="A15" s="2" t="s">
        <v>30</v>
      </c>
    </row>
    <row r="16" spans="1:1" ht="68.25" customHeight="1" x14ac:dyDescent="0.2">
      <c r="A16" s="2" t="s">
        <v>31</v>
      </c>
    </row>
    <row r="17" spans="1:1" ht="79.5" customHeight="1" x14ac:dyDescent="0.2">
      <c r="A17" s="2" t="s">
        <v>32</v>
      </c>
    </row>
    <row r="18" spans="1:1" ht="90.75" customHeight="1" x14ac:dyDescent="0.2">
      <c r="A18" s="2" t="s">
        <v>33</v>
      </c>
    </row>
    <row r="19" spans="1:1" ht="45.75" customHeight="1" x14ac:dyDescent="0.2">
      <c r="A19" s="2" t="s">
        <v>34</v>
      </c>
    </row>
    <row r="20" spans="1:1" ht="57" customHeight="1" x14ac:dyDescent="0.2">
      <c r="A20" s="2" t="s">
        <v>35</v>
      </c>
    </row>
    <row r="21" spans="1:1" ht="45.75" customHeight="1" x14ac:dyDescent="0.2">
      <c r="A21" s="2" t="s">
        <v>36</v>
      </c>
    </row>
    <row r="22" spans="1:1" ht="90.75" customHeight="1" x14ac:dyDescent="0.2">
      <c r="A22" s="2" t="s">
        <v>37</v>
      </c>
    </row>
    <row r="23" spans="1:1" ht="90.75" customHeight="1" x14ac:dyDescent="0.2">
      <c r="A23" s="2" t="s">
        <v>38</v>
      </c>
    </row>
    <row r="24" spans="1:1" ht="90.75" customHeight="1" x14ac:dyDescent="0.2">
      <c r="A24" s="2" t="s">
        <v>39</v>
      </c>
    </row>
    <row r="25" spans="1:1" ht="124.5" customHeight="1" x14ac:dyDescent="0.2">
      <c r="A25" s="2" t="s">
        <v>40</v>
      </c>
    </row>
    <row r="26" spans="1:1" ht="124.5" customHeight="1" x14ac:dyDescent="0.2">
      <c r="A26" s="2" t="s">
        <v>41</v>
      </c>
    </row>
    <row r="27" spans="1:1" ht="34.5" customHeight="1" x14ac:dyDescent="0.2">
      <c r="A27" s="2" t="s">
        <v>42</v>
      </c>
    </row>
    <row r="28" spans="1:1" ht="102" customHeight="1" x14ac:dyDescent="0.2">
      <c r="A28" s="2" t="s">
        <v>43</v>
      </c>
    </row>
    <row r="29" spans="1:1" ht="124.5" customHeight="1" x14ac:dyDescent="0.2">
      <c r="A29" s="2" t="s">
        <v>44</v>
      </c>
    </row>
    <row r="30" spans="1:1" ht="147" customHeight="1" x14ac:dyDescent="0.2">
      <c r="A30" s="2" t="s">
        <v>45</v>
      </c>
    </row>
    <row r="31" spans="1:1" ht="147" customHeight="1" x14ac:dyDescent="0.2">
      <c r="A31" s="2" t="s">
        <v>46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23"/>
  <sheetViews>
    <sheetView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5" x14ac:dyDescent="0.2"/>
  <cols>
    <col min="1" max="1" width="8" customWidth="1"/>
    <col min="2" max="2" width="10" customWidth="1"/>
    <col min="3" max="3" width="34" customWidth="1"/>
    <col min="4" max="4" width="58" customWidth="1"/>
    <col min="5" max="7" width="5" customWidth="1"/>
    <col min="8" max="8" width="48" customWidth="1"/>
    <col min="9" max="9" width="26" customWidth="1"/>
    <col min="10" max="10" width="38" customWidth="1"/>
    <col min="11" max="11" width="12" customWidth="1"/>
    <col min="12" max="13" width="14" customWidth="1"/>
    <col min="14" max="14" width="26" customWidth="1"/>
  </cols>
  <sheetData>
    <row r="1" spans="1:14" ht="17.25" customHeight="1" x14ac:dyDescent="0.2">
      <c r="A1" s="3" t="s">
        <v>47</v>
      </c>
    </row>
    <row r="3" spans="1:14" ht="23.25" customHeight="1" x14ac:dyDescent="0.2">
      <c r="A3" s="4" t="s">
        <v>48</v>
      </c>
      <c r="B3" s="4" t="s">
        <v>49</v>
      </c>
      <c r="C3" s="4" t="s">
        <v>50</v>
      </c>
      <c r="D3" s="4" t="s">
        <v>51</v>
      </c>
      <c r="E3" s="5" t="s">
        <v>52</v>
      </c>
      <c r="F3" s="5" t="s">
        <v>53</v>
      </c>
      <c r="G3" s="5" t="s">
        <v>54</v>
      </c>
      <c r="H3" s="4" t="s">
        <v>55</v>
      </c>
      <c r="I3" s="4" t="s">
        <v>56</v>
      </c>
      <c r="J3" s="4" t="s">
        <v>57</v>
      </c>
      <c r="K3" s="4" t="s">
        <v>58</v>
      </c>
      <c r="L3" s="4" t="s">
        <v>59</v>
      </c>
      <c r="M3" s="4" t="s">
        <v>60</v>
      </c>
      <c r="N3" s="4" t="s">
        <v>61</v>
      </c>
    </row>
    <row r="4" spans="1:14" ht="15" customHeight="1" x14ac:dyDescent="0.2">
      <c r="A4" s="6" t="s">
        <v>62</v>
      </c>
      <c r="B4" s="6"/>
      <c r="C4" s="6"/>
      <c r="D4" s="6"/>
      <c r="E4" s="6"/>
      <c r="F4" s="6"/>
      <c r="G4" s="6"/>
      <c r="H4" s="6"/>
      <c r="I4" s="6"/>
      <c r="J4" s="6"/>
      <c r="K4" s="6"/>
      <c r="L4" s="6"/>
      <c r="M4" s="6"/>
      <c r="N4" s="6"/>
    </row>
    <row r="5" spans="1:14" ht="45.75" customHeight="1" x14ac:dyDescent="0.2">
      <c r="A5" s="7" t="s">
        <v>63</v>
      </c>
      <c r="B5" s="7" t="s">
        <v>64</v>
      </c>
      <c r="C5" s="7" t="s">
        <v>65</v>
      </c>
      <c r="D5" s="7" t="s">
        <v>66</v>
      </c>
      <c r="E5" s="8" t="s">
        <v>67</v>
      </c>
      <c r="F5" s="8" t="s">
        <v>67</v>
      </c>
      <c r="G5" s="8" t="s">
        <v>67</v>
      </c>
      <c r="H5" s="7" t="s">
        <v>68</v>
      </c>
      <c r="I5" s="7" t="s">
        <v>69</v>
      </c>
      <c r="J5" s="7" t="s">
        <v>70</v>
      </c>
      <c r="K5" s="7" t="s">
        <v>71</v>
      </c>
      <c r="L5" s="7" t="s">
        <v>72</v>
      </c>
      <c r="M5" s="7"/>
      <c r="N5" s="7"/>
    </row>
    <row r="6" spans="1:14" ht="45.75" customHeight="1" x14ac:dyDescent="0.2">
      <c r="A6" s="7" t="s">
        <v>73</v>
      </c>
      <c r="B6" s="7" t="s">
        <v>64</v>
      </c>
      <c r="C6" s="7" t="s">
        <v>74</v>
      </c>
      <c r="D6" s="7" t="s">
        <v>75</v>
      </c>
      <c r="E6" s="8" t="s">
        <v>67</v>
      </c>
      <c r="F6" s="8" t="s">
        <v>67</v>
      </c>
      <c r="G6" s="8" t="s">
        <v>67</v>
      </c>
      <c r="H6" s="7" t="s">
        <v>76</v>
      </c>
      <c r="I6" s="7" t="s">
        <v>73</v>
      </c>
      <c r="J6" s="7" t="s">
        <v>77</v>
      </c>
      <c r="K6" s="7" t="s">
        <v>71</v>
      </c>
      <c r="L6" s="7" t="s">
        <v>72</v>
      </c>
      <c r="M6" s="7"/>
      <c r="N6" s="7"/>
    </row>
    <row r="7" spans="1:14" ht="23.25" customHeight="1" x14ac:dyDescent="0.2">
      <c r="A7" s="7" t="s">
        <v>78</v>
      </c>
      <c r="B7" s="7" t="s">
        <v>64</v>
      </c>
      <c r="C7" s="7" t="s">
        <v>79</v>
      </c>
      <c r="D7" s="7" t="s">
        <v>80</v>
      </c>
      <c r="E7" s="8" t="s">
        <v>67</v>
      </c>
      <c r="F7" s="8" t="s">
        <v>67</v>
      </c>
      <c r="G7" s="8" t="s">
        <v>67</v>
      </c>
      <c r="H7" s="7" t="s">
        <v>81</v>
      </c>
      <c r="I7" s="7" t="s">
        <v>82</v>
      </c>
      <c r="J7" s="7" t="s">
        <v>83</v>
      </c>
      <c r="K7" s="7" t="s">
        <v>71</v>
      </c>
      <c r="L7" s="7" t="s">
        <v>72</v>
      </c>
      <c r="M7" s="7"/>
      <c r="N7" s="7"/>
    </row>
    <row r="8" spans="1:14" ht="23.25" customHeight="1" x14ac:dyDescent="0.2">
      <c r="A8" s="7" t="s">
        <v>84</v>
      </c>
      <c r="B8" s="7" t="s">
        <v>64</v>
      </c>
      <c r="C8" s="7" t="s">
        <v>65</v>
      </c>
      <c r="D8" s="7" t="s">
        <v>85</v>
      </c>
      <c r="E8" s="8" t="s">
        <v>67</v>
      </c>
      <c r="F8" s="8" t="s">
        <v>67</v>
      </c>
      <c r="G8" s="8" t="s">
        <v>67</v>
      </c>
      <c r="H8" s="7" t="s">
        <v>86</v>
      </c>
      <c r="I8" s="7" t="s">
        <v>84</v>
      </c>
      <c r="J8" s="7" t="s">
        <v>87</v>
      </c>
      <c r="K8" s="7" t="s">
        <v>71</v>
      </c>
      <c r="L8" s="7" t="s">
        <v>72</v>
      </c>
      <c r="M8" s="7"/>
      <c r="N8" s="7"/>
    </row>
    <row r="9" spans="1:14" ht="15" customHeight="1" x14ac:dyDescent="0.2">
      <c r="A9" s="7" t="s">
        <v>88</v>
      </c>
      <c r="B9" s="7" t="s">
        <v>64</v>
      </c>
      <c r="C9" s="7" t="s">
        <v>74</v>
      </c>
      <c r="D9" s="7" t="s">
        <v>89</v>
      </c>
      <c r="E9" s="8" t="s">
        <v>67</v>
      </c>
      <c r="F9" s="8" t="s">
        <v>67</v>
      </c>
      <c r="G9" s="8" t="s">
        <v>67</v>
      </c>
      <c r="H9" s="7" t="s">
        <v>90</v>
      </c>
      <c r="I9" s="7" t="s">
        <v>88</v>
      </c>
      <c r="J9" s="7" t="s">
        <v>91</v>
      </c>
      <c r="K9" s="7" t="s">
        <v>71</v>
      </c>
      <c r="L9" s="7" t="s">
        <v>72</v>
      </c>
      <c r="M9" s="7"/>
      <c r="N9" s="7"/>
    </row>
    <row r="10" spans="1:14" ht="15" customHeight="1" x14ac:dyDescent="0.2">
      <c r="A10" s="6" t="s">
        <v>92</v>
      </c>
      <c r="B10" s="6"/>
      <c r="C10" s="6"/>
      <c r="D10" s="6"/>
      <c r="E10" s="6"/>
      <c r="F10" s="6"/>
      <c r="G10" s="6"/>
      <c r="H10" s="6"/>
      <c r="I10" s="6"/>
      <c r="J10" s="6"/>
      <c r="K10" s="6"/>
      <c r="L10" s="6"/>
      <c r="M10" s="6"/>
      <c r="N10" s="6"/>
    </row>
    <row r="11" spans="1:14" ht="23.25" customHeight="1" x14ac:dyDescent="0.2">
      <c r="A11" s="7" t="s">
        <v>93</v>
      </c>
      <c r="B11" s="7" t="s">
        <v>94</v>
      </c>
      <c r="C11" s="7" t="s">
        <v>95</v>
      </c>
      <c r="D11" s="7" t="s">
        <v>96</v>
      </c>
      <c r="E11" s="8" t="s">
        <v>67</v>
      </c>
      <c r="F11" s="8" t="s">
        <v>67</v>
      </c>
      <c r="G11" s="8" t="s">
        <v>67</v>
      </c>
      <c r="H11" s="7" t="s">
        <v>97</v>
      </c>
      <c r="I11" s="7" t="s">
        <v>98</v>
      </c>
      <c r="J11" s="7" t="s">
        <v>99</v>
      </c>
      <c r="K11" s="7" t="s">
        <v>71</v>
      </c>
      <c r="L11" s="7" t="s">
        <v>72</v>
      </c>
      <c r="M11" s="7"/>
      <c r="N11" s="7"/>
    </row>
    <row r="12" spans="1:14" ht="23.25" customHeight="1" x14ac:dyDescent="0.2">
      <c r="A12" s="7" t="s">
        <v>100</v>
      </c>
      <c r="B12" s="7" t="s">
        <v>94</v>
      </c>
      <c r="C12" s="7" t="s">
        <v>101</v>
      </c>
      <c r="D12" s="7" t="s">
        <v>102</v>
      </c>
      <c r="E12" s="8" t="s">
        <v>67</v>
      </c>
      <c r="F12" s="8" t="s">
        <v>67</v>
      </c>
      <c r="G12" s="8" t="s">
        <v>67</v>
      </c>
      <c r="H12" s="7" t="s">
        <v>103</v>
      </c>
      <c r="I12" s="7" t="s">
        <v>104</v>
      </c>
      <c r="J12" s="7" t="s">
        <v>105</v>
      </c>
      <c r="K12" s="7" t="s">
        <v>71</v>
      </c>
      <c r="L12" s="7" t="s">
        <v>72</v>
      </c>
      <c r="M12" s="7"/>
      <c r="N12" s="7"/>
    </row>
    <row r="13" spans="1:14" ht="23.25" customHeight="1" x14ac:dyDescent="0.2">
      <c r="A13" s="7" t="s">
        <v>106</v>
      </c>
      <c r="B13" s="7" t="s">
        <v>94</v>
      </c>
      <c r="C13" s="7" t="s">
        <v>107</v>
      </c>
      <c r="D13" s="7" t="s">
        <v>108</v>
      </c>
      <c r="E13" s="8" t="s">
        <v>67</v>
      </c>
      <c r="F13" s="8" t="s">
        <v>67</v>
      </c>
      <c r="G13" s="8" t="s">
        <v>67</v>
      </c>
      <c r="H13" s="7" t="s">
        <v>109</v>
      </c>
      <c r="I13" s="7" t="s">
        <v>110</v>
      </c>
      <c r="J13" s="7" t="s">
        <v>111</v>
      </c>
      <c r="K13" s="7" t="s">
        <v>71</v>
      </c>
      <c r="L13" s="7" t="s">
        <v>72</v>
      </c>
      <c r="M13" s="7"/>
      <c r="N13" s="7"/>
    </row>
    <row r="14" spans="1:14" ht="23.25" customHeight="1" x14ac:dyDescent="0.2">
      <c r="A14" s="7" t="s">
        <v>112</v>
      </c>
      <c r="B14" s="7" t="s">
        <v>94</v>
      </c>
      <c r="C14" s="7" t="s">
        <v>113</v>
      </c>
      <c r="D14" s="7" t="s">
        <v>114</v>
      </c>
      <c r="E14" s="8" t="s">
        <v>67</v>
      </c>
      <c r="F14" s="8" t="s">
        <v>67</v>
      </c>
      <c r="G14" s="8" t="s">
        <v>67</v>
      </c>
      <c r="H14" s="7" t="s">
        <v>115</v>
      </c>
      <c r="I14" s="7" t="s">
        <v>116</v>
      </c>
      <c r="J14" s="7" t="s">
        <v>117</v>
      </c>
      <c r="K14" s="7" t="s">
        <v>71</v>
      </c>
      <c r="L14" s="7" t="s">
        <v>72</v>
      </c>
      <c r="M14" s="7"/>
      <c r="N14" s="7"/>
    </row>
    <row r="15" spans="1:14" ht="23.25" customHeight="1" x14ac:dyDescent="0.2">
      <c r="A15" s="7" t="s">
        <v>118</v>
      </c>
      <c r="B15" s="7" t="s">
        <v>94</v>
      </c>
      <c r="C15" s="7" t="s">
        <v>119</v>
      </c>
      <c r="D15" s="7" t="s">
        <v>120</v>
      </c>
      <c r="E15" s="8" t="s">
        <v>67</v>
      </c>
      <c r="F15" s="8" t="s">
        <v>67</v>
      </c>
      <c r="G15" s="8" t="s">
        <v>67</v>
      </c>
      <c r="H15" s="7" t="s">
        <v>121</v>
      </c>
      <c r="I15" s="7" t="s">
        <v>122</v>
      </c>
      <c r="J15" s="7" t="s">
        <v>123</v>
      </c>
      <c r="K15" s="7" t="s">
        <v>71</v>
      </c>
      <c r="L15" s="7" t="s">
        <v>72</v>
      </c>
      <c r="M15" s="7"/>
      <c r="N15" s="7"/>
    </row>
    <row r="16" spans="1:14" ht="23.25" customHeight="1" x14ac:dyDescent="0.2">
      <c r="A16" s="7" t="s">
        <v>124</v>
      </c>
      <c r="B16" s="7" t="s">
        <v>94</v>
      </c>
      <c r="C16" s="7" t="s">
        <v>125</v>
      </c>
      <c r="D16" s="7" t="s">
        <v>126</v>
      </c>
      <c r="E16" s="8"/>
      <c r="F16" s="8" t="s">
        <v>67</v>
      </c>
      <c r="G16" s="8" t="s">
        <v>67</v>
      </c>
      <c r="H16" s="7" t="s">
        <v>127</v>
      </c>
      <c r="I16" s="7" t="s">
        <v>128</v>
      </c>
      <c r="J16" s="7" t="s">
        <v>129</v>
      </c>
      <c r="K16" s="7" t="s">
        <v>71</v>
      </c>
      <c r="L16" s="7" t="s">
        <v>72</v>
      </c>
      <c r="M16" s="7"/>
      <c r="N16" s="7"/>
    </row>
    <row r="17" spans="1:14" ht="23.25" customHeight="1" x14ac:dyDescent="0.2">
      <c r="A17" s="7" t="s">
        <v>130</v>
      </c>
      <c r="B17" s="7" t="s">
        <v>94</v>
      </c>
      <c r="C17" s="7" t="s">
        <v>131</v>
      </c>
      <c r="D17" s="7" t="s">
        <v>132</v>
      </c>
      <c r="E17" s="8" t="s">
        <v>67</v>
      </c>
      <c r="F17" s="8" t="s">
        <v>67</v>
      </c>
      <c r="G17" s="8" t="s">
        <v>67</v>
      </c>
      <c r="H17" s="7" t="s">
        <v>133</v>
      </c>
      <c r="I17" s="7" t="s">
        <v>134</v>
      </c>
      <c r="J17" s="7" t="s">
        <v>135</v>
      </c>
      <c r="K17" s="7" t="s">
        <v>71</v>
      </c>
      <c r="L17" s="7" t="s">
        <v>72</v>
      </c>
      <c r="M17" s="7"/>
      <c r="N17" s="7"/>
    </row>
    <row r="18" spans="1:14" ht="23.25" customHeight="1" x14ac:dyDescent="0.2">
      <c r="A18" s="7" t="s">
        <v>136</v>
      </c>
      <c r="B18" s="7" t="s">
        <v>94</v>
      </c>
      <c r="C18" s="7" t="s">
        <v>137</v>
      </c>
      <c r="D18" s="7" t="s">
        <v>138</v>
      </c>
      <c r="E18" s="8" t="s">
        <v>67</v>
      </c>
      <c r="F18" s="8" t="s">
        <v>67</v>
      </c>
      <c r="G18" s="8"/>
      <c r="H18" s="7" t="s">
        <v>139</v>
      </c>
      <c r="I18" s="7" t="s">
        <v>140</v>
      </c>
      <c r="J18" s="7" t="s">
        <v>141</v>
      </c>
      <c r="K18" s="7" t="s">
        <v>71</v>
      </c>
      <c r="L18" s="7" t="s">
        <v>72</v>
      </c>
      <c r="M18" s="7"/>
      <c r="N18" s="7"/>
    </row>
    <row r="19" spans="1:14" ht="23.25" customHeight="1" x14ac:dyDescent="0.2">
      <c r="A19" s="7" t="s">
        <v>142</v>
      </c>
      <c r="B19" s="7" t="s">
        <v>94</v>
      </c>
      <c r="C19" s="7" t="s">
        <v>143</v>
      </c>
      <c r="D19" s="7" t="s">
        <v>144</v>
      </c>
      <c r="E19" s="8"/>
      <c r="F19" s="8" t="s">
        <v>67</v>
      </c>
      <c r="G19" s="8"/>
      <c r="H19" s="7" t="s">
        <v>145</v>
      </c>
      <c r="I19" s="7" t="s">
        <v>146</v>
      </c>
      <c r="J19" s="7" t="s">
        <v>147</v>
      </c>
      <c r="K19" s="7" t="s">
        <v>71</v>
      </c>
      <c r="L19" s="7" t="s">
        <v>72</v>
      </c>
      <c r="M19" s="7"/>
      <c r="N19" s="7"/>
    </row>
    <row r="20" spans="1:14" ht="23.25" customHeight="1" x14ac:dyDescent="0.2">
      <c r="A20" s="7" t="s">
        <v>148</v>
      </c>
      <c r="B20" s="7" t="s">
        <v>94</v>
      </c>
      <c r="C20" s="7" t="s">
        <v>149</v>
      </c>
      <c r="D20" s="7" t="s">
        <v>150</v>
      </c>
      <c r="E20" s="8"/>
      <c r="F20" s="8" t="s">
        <v>67</v>
      </c>
      <c r="G20" s="8"/>
      <c r="H20" s="7" t="s">
        <v>151</v>
      </c>
      <c r="I20" s="7" t="s">
        <v>152</v>
      </c>
      <c r="J20" s="7" t="s">
        <v>153</v>
      </c>
      <c r="K20" s="7" t="s">
        <v>71</v>
      </c>
      <c r="L20" s="7" t="s">
        <v>72</v>
      </c>
      <c r="M20" s="7"/>
      <c r="N20" s="7"/>
    </row>
    <row r="21" spans="1:14" ht="23.25" customHeight="1" x14ac:dyDescent="0.2">
      <c r="A21" s="7" t="s">
        <v>154</v>
      </c>
      <c r="B21" s="7" t="s">
        <v>94</v>
      </c>
      <c r="C21" s="7" t="s">
        <v>155</v>
      </c>
      <c r="D21" s="7" t="s">
        <v>156</v>
      </c>
      <c r="E21" s="8" t="s">
        <v>67</v>
      </c>
      <c r="F21" s="8" t="s">
        <v>67</v>
      </c>
      <c r="G21" s="8" t="s">
        <v>67</v>
      </c>
      <c r="H21" s="7" t="s">
        <v>157</v>
      </c>
      <c r="I21" s="7" t="s">
        <v>158</v>
      </c>
      <c r="J21" s="7" t="s">
        <v>159</v>
      </c>
      <c r="K21" s="7" t="s">
        <v>71</v>
      </c>
      <c r="L21" s="7" t="s">
        <v>72</v>
      </c>
      <c r="M21" s="7"/>
      <c r="N21" s="7"/>
    </row>
    <row r="22" spans="1:14" ht="23.25" customHeight="1" x14ac:dyDescent="0.2">
      <c r="A22" s="7" t="s">
        <v>160</v>
      </c>
      <c r="B22" s="7" t="s">
        <v>94</v>
      </c>
      <c r="C22" s="7" t="s">
        <v>161</v>
      </c>
      <c r="D22" s="7" t="s">
        <v>162</v>
      </c>
      <c r="E22" s="8" t="s">
        <v>67</v>
      </c>
      <c r="F22" s="8" t="s">
        <v>67</v>
      </c>
      <c r="G22" s="8" t="s">
        <v>67</v>
      </c>
      <c r="H22" s="7" t="s">
        <v>163</v>
      </c>
      <c r="I22" s="7" t="s">
        <v>164</v>
      </c>
      <c r="J22" s="7" t="s">
        <v>165</v>
      </c>
      <c r="K22" s="7" t="s">
        <v>71</v>
      </c>
      <c r="L22" s="7" t="s">
        <v>72</v>
      </c>
      <c r="M22" s="7"/>
      <c r="N22" s="7"/>
    </row>
    <row r="23" spans="1:14" ht="23.25" customHeight="1" x14ac:dyDescent="0.2">
      <c r="A23" s="7" t="s">
        <v>166</v>
      </c>
      <c r="B23" s="7" t="s">
        <v>94</v>
      </c>
      <c r="C23" s="7" t="s">
        <v>167</v>
      </c>
      <c r="D23" s="7" t="s">
        <v>168</v>
      </c>
      <c r="E23" s="8" t="s">
        <v>67</v>
      </c>
      <c r="F23" s="8" t="s">
        <v>67</v>
      </c>
      <c r="G23" s="8" t="s">
        <v>67</v>
      </c>
      <c r="H23" s="7" t="s">
        <v>169</v>
      </c>
      <c r="I23" s="7" t="s">
        <v>170</v>
      </c>
      <c r="J23" s="7" t="s">
        <v>171</v>
      </c>
      <c r="K23" s="7" t="s">
        <v>71</v>
      </c>
      <c r="L23" s="7" t="s">
        <v>72</v>
      </c>
      <c r="M23" s="7"/>
      <c r="N23" s="7"/>
    </row>
  </sheetData>
  <autoFilter ref="A3:N23" xr:uid="{00000000-0009-0000-0000-000002000000}"/>
  <conditionalFormatting sqref="L4:L23">
    <cfRule type="cellIs" dxfId="60" priority="2" operator="equal">
      <formula>"Implemented"</formula>
    </cfRule>
    <cfRule type="cellIs" dxfId="59" priority="3" operator="equal">
      <formula>"Verified"</formula>
    </cfRule>
    <cfRule type="cellIs" dxfId="58" priority="4" operator="equal">
      <formula>"In progress"</formula>
    </cfRule>
  </conditionalFormatting>
  <dataValidations count="2">
    <dataValidation type="list" allowBlank="1" sqref="K4:K23" xr:uid="{00000000-0002-0000-0200-000000000000}">
      <formula1>"Yes,No"</formula1>
      <formula2>0</formula2>
    </dataValidation>
    <dataValidation type="list" allowBlank="1" sqref="L4:L23" xr:uid="{00000000-0002-0000-0200-000001000000}">
      <formula1>"Not started,In progress,Implemented,Verified,Not applicable"</formula1>
      <formula2>0</formula2>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57"/>
  <sheetViews>
    <sheetView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5" x14ac:dyDescent="0.2"/>
  <cols>
    <col min="1" max="1" width="8" customWidth="1"/>
    <col min="2" max="2" width="10" customWidth="1"/>
    <col min="3" max="3" width="34" customWidth="1"/>
    <col min="4" max="4" width="58" customWidth="1"/>
    <col min="5" max="5" width="30" customWidth="1"/>
    <col min="6" max="6" width="50" customWidth="1"/>
    <col min="7" max="7" width="38" customWidth="1"/>
    <col min="8" max="8" width="12" customWidth="1"/>
    <col min="9" max="10" width="14" customWidth="1"/>
    <col min="11" max="11" width="26" customWidth="1"/>
  </cols>
  <sheetData>
    <row r="1" spans="1:11" ht="17.25" customHeight="1" x14ac:dyDescent="0.2">
      <c r="A1" s="3" t="s">
        <v>172</v>
      </c>
    </row>
    <row r="3" spans="1:11" ht="23.25" customHeight="1" x14ac:dyDescent="0.2">
      <c r="A3" s="9" t="s">
        <v>48</v>
      </c>
      <c r="B3" s="9" t="s">
        <v>49</v>
      </c>
      <c r="C3" s="9" t="s">
        <v>50</v>
      </c>
      <c r="D3" s="9" t="s">
        <v>173</v>
      </c>
      <c r="E3" s="9" t="s">
        <v>174</v>
      </c>
      <c r="F3" s="9" t="s">
        <v>175</v>
      </c>
      <c r="G3" s="9" t="s">
        <v>57</v>
      </c>
      <c r="H3" s="9" t="s">
        <v>58</v>
      </c>
      <c r="I3" s="9" t="s">
        <v>59</v>
      </c>
      <c r="J3" s="9" t="s">
        <v>60</v>
      </c>
      <c r="K3" s="9" t="s">
        <v>61</v>
      </c>
    </row>
    <row r="4" spans="1:11" ht="15" customHeight="1" x14ac:dyDescent="0.2">
      <c r="A4" s="6" t="s">
        <v>62</v>
      </c>
      <c r="B4" s="6"/>
      <c r="C4" s="6"/>
      <c r="D4" s="6"/>
      <c r="E4" s="6"/>
      <c r="F4" s="6"/>
      <c r="G4" s="6"/>
      <c r="H4" s="6"/>
      <c r="I4" s="6"/>
      <c r="J4" s="6"/>
      <c r="K4" s="6"/>
    </row>
    <row r="5" spans="1:11" ht="45.75" customHeight="1" x14ac:dyDescent="0.2">
      <c r="A5" s="7" t="s">
        <v>176</v>
      </c>
      <c r="B5" s="7" t="s">
        <v>64</v>
      </c>
      <c r="C5" s="7" t="s">
        <v>177</v>
      </c>
      <c r="D5" s="7" t="s">
        <v>178</v>
      </c>
      <c r="E5" s="7" t="s">
        <v>179</v>
      </c>
      <c r="F5" s="7" t="s">
        <v>180</v>
      </c>
      <c r="G5" s="7" t="s">
        <v>181</v>
      </c>
      <c r="H5" s="7" t="s">
        <v>71</v>
      </c>
      <c r="I5" s="7" t="s">
        <v>72</v>
      </c>
      <c r="J5" s="7"/>
      <c r="K5" s="7"/>
    </row>
    <row r="6" spans="1:11" ht="34.5" customHeight="1" x14ac:dyDescent="0.2">
      <c r="A6" s="7" t="s">
        <v>182</v>
      </c>
      <c r="B6" s="7" t="s">
        <v>64</v>
      </c>
      <c r="C6" s="7" t="s">
        <v>183</v>
      </c>
      <c r="D6" s="7" t="s">
        <v>184</v>
      </c>
      <c r="E6" s="7" t="s">
        <v>179</v>
      </c>
      <c r="F6" s="7" t="s">
        <v>185</v>
      </c>
      <c r="G6" s="7" t="s">
        <v>186</v>
      </c>
      <c r="H6" s="7" t="s">
        <v>71</v>
      </c>
      <c r="I6" s="7" t="s">
        <v>72</v>
      </c>
      <c r="J6" s="7"/>
      <c r="K6" s="7"/>
    </row>
    <row r="7" spans="1:11" ht="23.25" customHeight="1" x14ac:dyDescent="0.2">
      <c r="A7" s="7" t="s">
        <v>187</v>
      </c>
      <c r="B7" s="7" t="s">
        <v>64</v>
      </c>
      <c r="C7" s="7" t="s">
        <v>188</v>
      </c>
      <c r="D7" s="7" t="s">
        <v>189</v>
      </c>
      <c r="E7" s="7" t="s">
        <v>179</v>
      </c>
      <c r="F7" s="7" t="s">
        <v>190</v>
      </c>
      <c r="G7" s="7" t="s">
        <v>191</v>
      </c>
      <c r="H7" s="7" t="s">
        <v>71</v>
      </c>
      <c r="I7" s="7" t="s">
        <v>72</v>
      </c>
      <c r="J7" s="7"/>
      <c r="K7" s="7"/>
    </row>
    <row r="8" spans="1:11" ht="23.25" customHeight="1" x14ac:dyDescent="0.2">
      <c r="A8" s="7" t="s">
        <v>192</v>
      </c>
      <c r="B8" s="7" t="s">
        <v>64</v>
      </c>
      <c r="C8" s="7" t="s">
        <v>193</v>
      </c>
      <c r="D8" s="7" t="s">
        <v>194</v>
      </c>
      <c r="E8" s="7" t="s">
        <v>179</v>
      </c>
      <c r="F8" s="7" t="s">
        <v>195</v>
      </c>
      <c r="G8" s="7" t="s">
        <v>196</v>
      </c>
      <c r="H8" s="7" t="s">
        <v>71</v>
      </c>
      <c r="I8" s="7" t="s">
        <v>72</v>
      </c>
      <c r="J8" s="7"/>
      <c r="K8" s="7"/>
    </row>
    <row r="9" spans="1:11" ht="45.75" customHeight="1" x14ac:dyDescent="0.2">
      <c r="A9" s="7" t="s">
        <v>197</v>
      </c>
      <c r="B9" s="7" t="s">
        <v>64</v>
      </c>
      <c r="C9" s="7" t="s">
        <v>198</v>
      </c>
      <c r="D9" s="7" t="s">
        <v>199</v>
      </c>
      <c r="E9" s="7" t="s">
        <v>200</v>
      </c>
      <c r="F9" s="7" t="s">
        <v>201</v>
      </c>
      <c r="G9" s="7" t="s">
        <v>202</v>
      </c>
      <c r="H9" s="7" t="s">
        <v>71</v>
      </c>
      <c r="I9" s="7" t="s">
        <v>72</v>
      </c>
      <c r="J9" s="7"/>
      <c r="K9" s="7"/>
    </row>
    <row r="10" spans="1:11" ht="45.75" customHeight="1" x14ac:dyDescent="0.2">
      <c r="A10" s="7" t="s">
        <v>203</v>
      </c>
      <c r="B10" s="7" t="s">
        <v>64</v>
      </c>
      <c r="C10" s="7" t="s">
        <v>204</v>
      </c>
      <c r="D10" s="7" t="s">
        <v>205</v>
      </c>
      <c r="E10" s="7" t="s">
        <v>200</v>
      </c>
      <c r="F10" s="7" t="s">
        <v>206</v>
      </c>
      <c r="G10" s="7" t="s">
        <v>207</v>
      </c>
      <c r="H10" s="7" t="s">
        <v>71</v>
      </c>
      <c r="I10" s="7" t="s">
        <v>72</v>
      </c>
      <c r="J10" s="7"/>
      <c r="K10" s="7"/>
    </row>
    <row r="11" spans="1:11" ht="23.25" customHeight="1" x14ac:dyDescent="0.2">
      <c r="A11" s="7" t="s">
        <v>208</v>
      </c>
      <c r="B11" s="7" t="s">
        <v>64</v>
      </c>
      <c r="C11" s="7" t="s">
        <v>209</v>
      </c>
      <c r="D11" s="7" t="s">
        <v>210</v>
      </c>
      <c r="E11" s="7" t="s">
        <v>200</v>
      </c>
      <c r="F11" s="7" t="s">
        <v>211</v>
      </c>
      <c r="G11" s="7" t="s">
        <v>212</v>
      </c>
      <c r="H11" s="7" t="s">
        <v>71</v>
      </c>
      <c r="I11" s="7" t="s">
        <v>72</v>
      </c>
      <c r="J11" s="7"/>
      <c r="K11" s="7"/>
    </row>
    <row r="12" spans="1:11" ht="34.5" customHeight="1" x14ac:dyDescent="0.2">
      <c r="A12" s="7" t="s">
        <v>213</v>
      </c>
      <c r="B12" s="7" t="s">
        <v>64</v>
      </c>
      <c r="C12" s="7" t="s">
        <v>214</v>
      </c>
      <c r="D12" s="7" t="s">
        <v>215</v>
      </c>
      <c r="E12" s="7" t="s">
        <v>216</v>
      </c>
      <c r="F12" s="7" t="s">
        <v>217</v>
      </c>
      <c r="G12" s="7" t="s">
        <v>218</v>
      </c>
      <c r="H12" s="7" t="s">
        <v>71</v>
      </c>
      <c r="I12" s="7" t="s">
        <v>72</v>
      </c>
      <c r="J12" s="7"/>
      <c r="K12" s="7"/>
    </row>
    <row r="13" spans="1:11" ht="34.5" customHeight="1" x14ac:dyDescent="0.2">
      <c r="A13" s="7" t="s">
        <v>219</v>
      </c>
      <c r="B13" s="7" t="s">
        <v>64</v>
      </c>
      <c r="C13" s="7" t="s">
        <v>220</v>
      </c>
      <c r="D13" s="7" t="s">
        <v>221</v>
      </c>
      <c r="E13" s="7" t="s">
        <v>222</v>
      </c>
      <c r="F13" s="7" t="s">
        <v>223</v>
      </c>
      <c r="G13" s="7" t="s">
        <v>224</v>
      </c>
      <c r="H13" s="7" t="s">
        <v>71</v>
      </c>
      <c r="I13" s="7" t="s">
        <v>72</v>
      </c>
      <c r="J13" s="7"/>
      <c r="K13" s="7"/>
    </row>
    <row r="14" spans="1:11" ht="34.5" customHeight="1" x14ac:dyDescent="0.2">
      <c r="A14" s="7" t="s">
        <v>225</v>
      </c>
      <c r="B14" s="7" t="s">
        <v>64</v>
      </c>
      <c r="C14" s="7" t="s">
        <v>226</v>
      </c>
      <c r="D14" s="7" t="s">
        <v>227</v>
      </c>
      <c r="E14" s="7" t="s">
        <v>216</v>
      </c>
      <c r="F14" s="7" t="s">
        <v>228</v>
      </c>
      <c r="G14" s="7" t="s">
        <v>229</v>
      </c>
      <c r="H14" s="7" t="s">
        <v>71</v>
      </c>
      <c r="I14" s="7" t="s">
        <v>72</v>
      </c>
      <c r="J14" s="7"/>
      <c r="K14" s="7"/>
    </row>
    <row r="15" spans="1:11" ht="23.25" customHeight="1" x14ac:dyDescent="0.2">
      <c r="A15" s="7" t="s">
        <v>230</v>
      </c>
      <c r="B15" s="7" t="s">
        <v>64</v>
      </c>
      <c r="C15" s="7" t="s">
        <v>231</v>
      </c>
      <c r="D15" s="7" t="s">
        <v>232</v>
      </c>
      <c r="E15" s="7" t="s">
        <v>216</v>
      </c>
      <c r="F15" s="7" t="s">
        <v>233</v>
      </c>
      <c r="G15" s="7" t="s">
        <v>234</v>
      </c>
      <c r="H15" s="7" t="s">
        <v>71</v>
      </c>
      <c r="I15" s="7" t="s">
        <v>72</v>
      </c>
      <c r="J15" s="7"/>
      <c r="K15" s="7"/>
    </row>
    <row r="16" spans="1:11" ht="23.25" customHeight="1" x14ac:dyDescent="0.2">
      <c r="A16" s="7" t="s">
        <v>235</v>
      </c>
      <c r="B16" s="7" t="s">
        <v>64</v>
      </c>
      <c r="C16" s="7" t="s">
        <v>236</v>
      </c>
      <c r="D16" s="7" t="s">
        <v>237</v>
      </c>
      <c r="E16" s="7" t="s">
        <v>238</v>
      </c>
      <c r="F16" s="7" t="s">
        <v>239</v>
      </c>
      <c r="G16" s="7" t="s">
        <v>240</v>
      </c>
      <c r="H16" s="7" t="s">
        <v>71</v>
      </c>
      <c r="I16" s="7" t="s">
        <v>72</v>
      </c>
      <c r="J16" s="7"/>
      <c r="K16" s="7"/>
    </row>
    <row r="17" spans="1:11" ht="34.5" customHeight="1" x14ac:dyDescent="0.2">
      <c r="A17" s="7" t="s">
        <v>241</v>
      </c>
      <c r="B17" s="7" t="s">
        <v>64</v>
      </c>
      <c r="C17" s="7" t="s">
        <v>242</v>
      </c>
      <c r="D17" s="7" t="s">
        <v>243</v>
      </c>
      <c r="E17" s="7" t="s">
        <v>238</v>
      </c>
      <c r="F17" s="7" t="s">
        <v>244</v>
      </c>
      <c r="G17" s="7" t="s">
        <v>245</v>
      </c>
      <c r="H17" s="7" t="s">
        <v>71</v>
      </c>
      <c r="I17" s="7" t="s">
        <v>72</v>
      </c>
      <c r="J17" s="7"/>
      <c r="K17" s="7"/>
    </row>
    <row r="18" spans="1:11" ht="23.25" customHeight="1" x14ac:dyDescent="0.2">
      <c r="A18" s="7" t="s">
        <v>246</v>
      </c>
      <c r="B18" s="7" t="s">
        <v>64</v>
      </c>
      <c r="C18" s="7" t="s">
        <v>247</v>
      </c>
      <c r="D18" s="7" t="s">
        <v>248</v>
      </c>
      <c r="E18" s="7" t="s">
        <v>238</v>
      </c>
      <c r="F18" s="7" t="s">
        <v>249</v>
      </c>
      <c r="G18" s="7" t="s">
        <v>250</v>
      </c>
      <c r="H18" s="7" t="s">
        <v>71</v>
      </c>
      <c r="I18" s="7" t="s">
        <v>72</v>
      </c>
      <c r="J18" s="7"/>
      <c r="K18" s="7"/>
    </row>
    <row r="19" spans="1:11" ht="23.25" customHeight="1" x14ac:dyDescent="0.2">
      <c r="A19" s="7" t="s">
        <v>251</v>
      </c>
      <c r="B19" s="7" t="s">
        <v>64</v>
      </c>
      <c r="C19" s="7" t="s">
        <v>252</v>
      </c>
      <c r="D19" s="7" t="s">
        <v>253</v>
      </c>
      <c r="E19" s="7" t="s">
        <v>238</v>
      </c>
      <c r="F19" s="7" t="s">
        <v>254</v>
      </c>
      <c r="G19" s="7" t="s">
        <v>255</v>
      </c>
      <c r="H19" s="7" t="s">
        <v>71</v>
      </c>
      <c r="I19" s="7" t="s">
        <v>72</v>
      </c>
      <c r="J19" s="7"/>
      <c r="K19" s="7"/>
    </row>
    <row r="20" spans="1:11" ht="23.25" customHeight="1" x14ac:dyDescent="0.2">
      <c r="A20" s="7" t="s">
        <v>256</v>
      </c>
      <c r="B20" s="7" t="s">
        <v>64</v>
      </c>
      <c r="C20" s="7" t="s">
        <v>257</v>
      </c>
      <c r="D20" s="7" t="s">
        <v>258</v>
      </c>
      <c r="E20" s="7" t="s">
        <v>259</v>
      </c>
      <c r="F20" s="7" t="s">
        <v>239</v>
      </c>
      <c r="G20" s="7" t="s">
        <v>260</v>
      </c>
      <c r="H20" s="7" t="s">
        <v>71</v>
      </c>
      <c r="I20" s="7" t="s">
        <v>72</v>
      </c>
      <c r="J20" s="7"/>
      <c r="K20" s="7"/>
    </row>
    <row r="21" spans="1:11" ht="23.25" customHeight="1" x14ac:dyDescent="0.2">
      <c r="A21" s="7" t="s">
        <v>261</v>
      </c>
      <c r="B21" s="7" t="s">
        <v>64</v>
      </c>
      <c r="C21" s="7" t="s">
        <v>262</v>
      </c>
      <c r="D21" s="7" t="s">
        <v>263</v>
      </c>
      <c r="E21" s="7" t="s">
        <v>259</v>
      </c>
      <c r="F21" s="7" t="s">
        <v>239</v>
      </c>
      <c r="G21" s="7" t="s">
        <v>264</v>
      </c>
      <c r="H21" s="7" t="s">
        <v>71</v>
      </c>
      <c r="I21" s="7" t="s">
        <v>72</v>
      </c>
      <c r="J21" s="7"/>
      <c r="K21" s="7"/>
    </row>
    <row r="22" spans="1:11" ht="34.5" customHeight="1" x14ac:dyDescent="0.2">
      <c r="A22" s="7" t="s">
        <v>265</v>
      </c>
      <c r="B22" s="7" t="s">
        <v>64</v>
      </c>
      <c r="C22" s="7" t="s">
        <v>266</v>
      </c>
      <c r="D22" s="7" t="s">
        <v>267</v>
      </c>
      <c r="E22" s="7" t="s">
        <v>268</v>
      </c>
      <c r="F22" s="7" t="s">
        <v>269</v>
      </c>
      <c r="G22" s="7" t="s">
        <v>270</v>
      </c>
      <c r="H22" s="7" t="s">
        <v>71</v>
      </c>
      <c r="I22" s="7" t="s">
        <v>72</v>
      </c>
      <c r="J22" s="7"/>
      <c r="K22" s="7"/>
    </row>
    <row r="23" spans="1:11" ht="23.25" customHeight="1" x14ac:dyDescent="0.2">
      <c r="A23" s="7" t="s">
        <v>271</v>
      </c>
      <c r="B23" s="7" t="s">
        <v>64</v>
      </c>
      <c r="C23" s="7" t="s">
        <v>220</v>
      </c>
      <c r="D23" s="7" t="s">
        <v>272</v>
      </c>
      <c r="E23" s="7" t="s">
        <v>222</v>
      </c>
      <c r="F23" s="7" t="s">
        <v>273</v>
      </c>
      <c r="G23" s="7" t="s">
        <v>274</v>
      </c>
      <c r="H23" s="7" t="s">
        <v>71</v>
      </c>
      <c r="I23" s="7" t="s">
        <v>72</v>
      </c>
      <c r="J23" s="7"/>
      <c r="K23" s="7"/>
    </row>
    <row r="24" spans="1:11" ht="34.5" customHeight="1" x14ac:dyDescent="0.2">
      <c r="A24" s="7" t="s">
        <v>275</v>
      </c>
      <c r="B24" s="7" t="s">
        <v>64</v>
      </c>
      <c r="C24" s="7" t="s">
        <v>276</v>
      </c>
      <c r="D24" s="7" t="s">
        <v>277</v>
      </c>
      <c r="E24" s="7" t="s">
        <v>278</v>
      </c>
      <c r="F24" s="7" t="s">
        <v>279</v>
      </c>
      <c r="G24" s="7" t="s">
        <v>280</v>
      </c>
      <c r="H24" s="7" t="s">
        <v>71</v>
      </c>
      <c r="I24" s="7" t="s">
        <v>72</v>
      </c>
      <c r="J24" s="7"/>
      <c r="K24" s="7"/>
    </row>
    <row r="25" spans="1:11" ht="23.25" customHeight="1" x14ac:dyDescent="0.2">
      <c r="A25" s="7" t="s">
        <v>281</v>
      </c>
      <c r="B25" s="7" t="s">
        <v>64</v>
      </c>
      <c r="C25" s="7" t="s">
        <v>282</v>
      </c>
      <c r="D25" s="7" t="s">
        <v>283</v>
      </c>
      <c r="E25" s="7" t="s">
        <v>278</v>
      </c>
      <c r="F25" s="7" t="s">
        <v>239</v>
      </c>
      <c r="G25" s="7" t="s">
        <v>284</v>
      </c>
      <c r="H25" s="7" t="s">
        <v>71</v>
      </c>
      <c r="I25" s="7" t="s">
        <v>72</v>
      </c>
      <c r="J25" s="7"/>
      <c r="K25" s="7"/>
    </row>
    <row r="26" spans="1:11" ht="34.5" customHeight="1" x14ac:dyDescent="0.2">
      <c r="A26" s="7" t="s">
        <v>285</v>
      </c>
      <c r="B26" s="7" t="s">
        <v>64</v>
      </c>
      <c r="C26" s="7" t="s">
        <v>286</v>
      </c>
      <c r="D26" s="7" t="s">
        <v>287</v>
      </c>
      <c r="E26" s="7" t="s">
        <v>278</v>
      </c>
      <c r="F26" s="7" t="s">
        <v>239</v>
      </c>
      <c r="G26" s="7" t="s">
        <v>288</v>
      </c>
      <c r="H26" s="7" t="s">
        <v>71</v>
      </c>
      <c r="I26" s="7" t="s">
        <v>72</v>
      </c>
      <c r="J26" s="7"/>
      <c r="K26" s="7"/>
    </row>
    <row r="27" spans="1:11" ht="23.25" customHeight="1" x14ac:dyDescent="0.2">
      <c r="A27" s="7" t="s">
        <v>289</v>
      </c>
      <c r="B27" s="7" t="s">
        <v>64</v>
      </c>
      <c r="C27" s="7" t="s">
        <v>290</v>
      </c>
      <c r="D27" s="7" t="s">
        <v>291</v>
      </c>
      <c r="E27" s="7" t="s">
        <v>278</v>
      </c>
      <c r="F27" s="7" t="s">
        <v>239</v>
      </c>
      <c r="G27" s="7" t="s">
        <v>292</v>
      </c>
      <c r="H27" s="7" t="s">
        <v>71</v>
      </c>
      <c r="I27" s="7" t="s">
        <v>72</v>
      </c>
      <c r="J27" s="7"/>
      <c r="K27" s="7"/>
    </row>
    <row r="28" spans="1:11" ht="34.5" customHeight="1" x14ac:dyDescent="0.2">
      <c r="A28" s="7" t="s">
        <v>293</v>
      </c>
      <c r="B28" s="7" t="s">
        <v>64</v>
      </c>
      <c r="C28" s="7" t="s">
        <v>294</v>
      </c>
      <c r="D28" s="7" t="s">
        <v>295</v>
      </c>
      <c r="E28" s="7" t="s">
        <v>278</v>
      </c>
      <c r="F28" s="7" t="s">
        <v>239</v>
      </c>
      <c r="G28" s="7" t="s">
        <v>296</v>
      </c>
      <c r="H28" s="7" t="s">
        <v>71</v>
      </c>
      <c r="I28" s="7" t="s">
        <v>72</v>
      </c>
      <c r="J28" s="7"/>
      <c r="K28" s="7"/>
    </row>
    <row r="29" spans="1:11" ht="23.25" customHeight="1" x14ac:dyDescent="0.2">
      <c r="A29" s="7" t="s">
        <v>297</v>
      </c>
      <c r="B29" s="7" t="s">
        <v>64</v>
      </c>
      <c r="C29" s="7" t="s">
        <v>298</v>
      </c>
      <c r="D29" s="7" t="s">
        <v>299</v>
      </c>
      <c r="E29" s="7" t="s">
        <v>278</v>
      </c>
      <c r="F29" s="7" t="s">
        <v>239</v>
      </c>
      <c r="G29" s="7" t="s">
        <v>300</v>
      </c>
      <c r="H29" s="7" t="s">
        <v>71</v>
      </c>
      <c r="I29" s="7" t="s">
        <v>72</v>
      </c>
      <c r="J29" s="7"/>
      <c r="K29" s="7"/>
    </row>
    <row r="30" spans="1:11" ht="23.25" customHeight="1" x14ac:dyDescent="0.2">
      <c r="A30" s="7" t="s">
        <v>301</v>
      </c>
      <c r="B30" s="7" t="s">
        <v>64</v>
      </c>
      <c r="C30" s="7" t="s">
        <v>302</v>
      </c>
      <c r="D30" s="7" t="s">
        <v>303</v>
      </c>
      <c r="E30" s="7" t="s">
        <v>304</v>
      </c>
      <c r="F30" s="7" t="s">
        <v>239</v>
      </c>
      <c r="G30" s="7" t="s">
        <v>305</v>
      </c>
      <c r="H30" s="7" t="s">
        <v>71</v>
      </c>
      <c r="I30" s="7" t="s">
        <v>72</v>
      </c>
      <c r="J30" s="7"/>
      <c r="K30" s="7"/>
    </row>
    <row r="31" spans="1:11" ht="23.25" customHeight="1" x14ac:dyDescent="0.2">
      <c r="A31" s="7" t="s">
        <v>306</v>
      </c>
      <c r="B31" s="7" t="s">
        <v>64</v>
      </c>
      <c r="C31" s="7" t="s">
        <v>307</v>
      </c>
      <c r="D31" s="7" t="s">
        <v>308</v>
      </c>
      <c r="E31" s="7" t="s">
        <v>304</v>
      </c>
      <c r="F31" s="7" t="s">
        <v>309</v>
      </c>
      <c r="G31" s="7" t="s">
        <v>310</v>
      </c>
      <c r="H31" s="7" t="s">
        <v>71</v>
      </c>
      <c r="I31" s="7" t="s">
        <v>72</v>
      </c>
      <c r="J31" s="7"/>
      <c r="K31" s="7"/>
    </row>
    <row r="32" spans="1:11" ht="15" customHeight="1" x14ac:dyDescent="0.2">
      <c r="A32" s="6" t="s">
        <v>92</v>
      </c>
      <c r="B32" s="6"/>
      <c r="C32" s="6"/>
      <c r="D32" s="6"/>
      <c r="E32" s="6"/>
      <c r="F32" s="6"/>
      <c r="G32" s="6"/>
      <c r="H32" s="6"/>
      <c r="I32" s="6"/>
      <c r="J32" s="6"/>
      <c r="K32" s="6"/>
    </row>
    <row r="33" spans="1:11" ht="15" customHeight="1" x14ac:dyDescent="0.2">
      <c r="A33" s="7" t="s">
        <v>311</v>
      </c>
      <c r="B33" s="7" t="s">
        <v>94</v>
      </c>
      <c r="C33" s="7" t="s">
        <v>204</v>
      </c>
      <c r="D33" s="7" t="s">
        <v>312</v>
      </c>
      <c r="E33" s="7" t="s">
        <v>313</v>
      </c>
      <c r="F33" s="7" t="s">
        <v>314</v>
      </c>
      <c r="G33" s="7" t="s">
        <v>315</v>
      </c>
      <c r="H33" s="7" t="s">
        <v>71</v>
      </c>
      <c r="I33" s="7" t="s">
        <v>72</v>
      </c>
      <c r="J33" s="7"/>
      <c r="K33" s="7"/>
    </row>
    <row r="34" spans="1:11" ht="23.25" customHeight="1" x14ac:dyDescent="0.2">
      <c r="A34" s="7" t="s">
        <v>316</v>
      </c>
      <c r="B34" s="7" t="s">
        <v>94</v>
      </c>
      <c r="C34" s="7" t="s">
        <v>317</v>
      </c>
      <c r="D34" s="7" t="s">
        <v>318</v>
      </c>
      <c r="E34" s="7" t="s">
        <v>313</v>
      </c>
      <c r="F34" s="7" t="s">
        <v>319</v>
      </c>
      <c r="G34" s="7" t="s">
        <v>320</v>
      </c>
      <c r="H34" s="7" t="s">
        <v>71</v>
      </c>
      <c r="I34" s="7" t="s">
        <v>72</v>
      </c>
      <c r="J34" s="7"/>
      <c r="K34" s="7"/>
    </row>
    <row r="35" spans="1:11" ht="23.25" customHeight="1" x14ac:dyDescent="0.2">
      <c r="A35" s="7" t="s">
        <v>321</v>
      </c>
      <c r="B35" s="7" t="s">
        <v>94</v>
      </c>
      <c r="C35" s="7" t="s">
        <v>322</v>
      </c>
      <c r="D35" s="7" t="s">
        <v>323</v>
      </c>
      <c r="E35" s="7" t="s">
        <v>313</v>
      </c>
      <c r="F35" s="7" t="s">
        <v>239</v>
      </c>
      <c r="G35" s="7" t="s">
        <v>324</v>
      </c>
      <c r="H35" s="7" t="s">
        <v>71</v>
      </c>
      <c r="I35" s="7" t="s">
        <v>72</v>
      </c>
      <c r="J35" s="7"/>
      <c r="K35" s="7"/>
    </row>
    <row r="36" spans="1:11" ht="23.25" customHeight="1" x14ac:dyDescent="0.2">
      <c r="A36" s="7" t="s">
        <v>325</v>
      </c>
      <c r="B36" s="7" t="s">
        <v>94</v>
      </c>
      <c r="C36" s="7" t="s">
        <v>326</v>
      </c>
      <c r="D36" s="7" t="s">
        <v>327</v>
      </c>
      <c r="E36" s="7" t="s">
        <v>328</v>
      </c>
      <c r="F36" s="7" t="s">
        <v>329</v>
      </c>
      <c r="G36" s="7" t="s">
        <v>330</v>
      </c>
      <c r="H36" s="7" t="s">
        <v>71</v>
      </c>
      <c r="I36" s="7" t="s">
        <v>72</v>
      </c>
      <c r="J36" s="7"/>
      <c r="K36" s="7"/>
    </row>
    <row r="37" spans="1:11" ht="23.25" customHeight="1" x14ac:dyDescent="0.2">
      <c r="A37" s="7" t="s">
        <v>331</v>
      </c>
      <c r="B37" s="7" t="s">
        <v>94</v>
      </c>
      <c r="C37" s="7" t="s">
        <v>332</v>
      </c>
      <c r="D37" s="7" t="s">
        <v>333</v>
      </c>
      <c r="E37" s="7" t="s">
        <v>328</v>
      </c>
      <c r="F37" s="7" t="s">
        <v>334</v>
      </c>
      <c r="G37" s="7" t="s">
        <v>335</v>
      </c>
      <c r="H37" s="7" t="s">
        <v>71</v>
      </c>
      <c r="I37" s="7" t="s">
        <v>72</v>
      </c>
      <c r="J37" s="7"/>
      <c r="K37" s="7"/>
    </row>
    <row r="38" spans="1:11" ht="34.5" customHeight="1" x14ac:dyDescent="0.2">
      <c r="A38" s="7" t="s">
        <v>336</v>
      </c>
      <c r="B38" s="7" t="s">
        <v>94</v>
      </c>
      <c r="C38" s="7" t="s">
        <v>337</v>
      </c>
      <c r="D38" s="7" t="s">
        <v>338</v>
      </c>
      <c r="E38" s="7" t="s">
        <v>339</v>
      </c>
      <c r="F38" s="7" t="s">
        <v>340</v>
      </c>
      <c r="G38" s="7" t="s">
        <v>341</v>
      </c>
      <c r="H38" s="7" t="s">
        <v>71</v>
      </c>
      <c r="I38" s="7" t="s">
        <v>72</v>
      </c>
      <c r="J38" s="7"/>
      <c r="K38" s="7"/>
    </row>
    <row r="39" spans="1:11" ht="15" customHeight="1" x14ac:dyDescent="0.2">
      <c r="A39" s="7" t="s">
        <v>342</v>
      </c>
      <c r="B39" s="7" t="s">
        <v>94</v>
      </c>
      <c r="C39" s="7" t="s">
        <v>343</v>
      </c>
      <c r="D39" s="7" t="s">
        <v>344</v>
      </c>
      <c r="E39" s="7" t="s">
        <v>339</v>
      </c>
      <c r="F39" s="7" t="s">
        <v>345</v>
      </c>
      <c r="G39" s="7" t="s">
        <v>346</v>
      </c>
      <c r="H39" s="7" t="s">
        <v>71</v>
      </c>
      <c r="I39" s="7" t="s">
        <v>72</v>
      </c>
      <c r="J39" s="7"/>
      <c r="K39" s="7"/>
    </row>
    <row r="40" spans="1:11" ht="34.5" customHeight="1" x14ac:dyDescent="0.2">
      <c r="A40" s="7" t="s">
        <v>347</v>
      </c>
      <c r="B40" s="7" t="s">
        <v>94</v>
      </c>
      <c r="C40" s="7" t="s">
        <v>348</v>
      </c>
      <c r="D40" s="7" t="s">
        <v>349</v>
      </c>
      <c r="E40" s="7" t="s">
        <v>339</v>
      </c>
      <c r="F40" s="7" t="s">
        <v>350</v>
      </c>
      <c r="G40" s="7" t="s">
        <v>351</v>
      </c>
      <c r="H40" s="7" t="s">
        <v>71</v>
      </c>
      <c r="I40" s="7" t="s">
        <v>72</v>
      </c>
      <c r="J40" s="7"/>
      <c r="K40" s="7"/>
    </row>
    <row r="41" spans="1:11" ht="23.25" customHeight="1" x14ac:dyDescent="0.2">
      <c r="A41" s="7" t="s">
        <v>352</v>
      </c>
      <c r="B41" s="7" t="s">
        <v>94</v>
      </c>
      <c r="C41" s="7" t="s">
        <v>353</v>
      </c>
      <c r="D41" s="7" t="s">
        <v>354</v>
      </c>
      <c r="E41" s="7" t="s">
        <v>222</v>
      </c>
      <c r="F41" s="7" t="s">
        <v>355</v>
      </c>
      <c r="G41" s="7" t="s">
        <v>356</v>
      </c>
      <c r="H41" s="7" t="s">
        <v>71</v>
      </c>
      <c r="I41" s="7" t="s">
        <v>72</v>
      </c>
      <c r="J41" s="7"/>
      <c r="K41" s="7"/>
    </row>
    <row r="42" spans="1:11" ht="23.25" customHeight="1" x14ac:dyDescent="0.2">
      <c r="A42" s="7" t="s">
        <v>357</v>
      </c>
      <c r="B42" s="7" t="s">
        <v>94</v>
      </c>
      <c r="C42" s="7" t="s">
        <v>358</v>
      </c>
      <c r="D42" s="7" t="s">
        <v>359</v>
      </c>
      <c r="E42" s="7" t="s">
        <v>222</v>
      </c>
      <c r="F42" s="7" t="s">
        <v>239</v>
      </c>
      <c r="G42" s="7" t="s">
        <v>360</v>
      </c>
      <c r="H42" s="7" t="s">
        <v>71</v>
      </c>
      <c r="I42" s="7" t="s">
        <v>72</v>
      </c>
      <c r="J42" s="7"/>
      <c r="K42" s="7"/>
    </row>
    <row r="43" spans="1:11" ht="23.25" customHeight="1" x14ac:dyDescent="0.2">
      <c r="A43" s="7" t="s">
        <v>361</v>
      </c>
      <c r="B43" s="7" t="s">
        <v>94</v>
      </c>
      <c r="C43" s="7" t="s">
        <v>362</v>
      </c>
      <c r="D43" s="7" t="s">
        <v>363</v>
      </c>
      <c r="E43" s="7" t="s">
        <v>222</v>
      </c>
      <c r="F43" s="7" t="s">
        <v>364</v>
      </c>
      <c r="G43" s="7" t="s">
        <v>365</v>
      </c>
      <c r="H43" s="7" t="s">
        <v>71</v>
      </c>
      <c r="I43" s="7" t="s">
        <v>72</v>
      </c>
      <c r="J43" s="7"/>
      <c r="K43" s="7"/>
    </row>
    <row r="44" spans="1:11" ht="23.25" customHeight="1" x14ac:dyDescent="0.2">
      <c r="A44" s="7" t="s">
        <v>366</v>
      </c>
      <c r="B44" s="7" t="s">
        <v>94</v>
      </c>
      <c r="C44" s="7" t="s">
        <v>367</v>
      </c>
      <c r="D44" s="7" t="s">
        <v>368</v>
      </c>
      <c r="E44" s="7" t="s">
        <v>222</v>
      </c>
      <c r="F44" s="7" t="s">
        <v>239</v>
      </c>
      <c r="G44" s="7" t="s">
        <v>369</v>
      </c>
      <c r="H44" s="7" t="s">
        <v>71</v>
      </c>
      <c r="I44" s="7" t="s">
        <v>72</v>
      </c>
      <c r="J44" s="7"/>
      <c r="K44" s="7"/>
    </row>
    <row r="45" spans="1:11" ht="34.5" customHeight="1" x14ac:dyDescent="0.2">
      <c r="A45" s="7" t="s">
        <v>370</v>
      </c>
      <c r="B45" s="7" t="s">
        <v>94</v>
      </c>
      <c r="C45" s="7" t="s">
        <v>371</v>
      </c>
      <c r="D45" s="7" t="s">
        <v>372</v>
      </c>
      <c r="E45" s="7" t="s">
        <v>373</v>
      </c>
      <c r="F45" s="7" t="s">
        <v>374</v>
      </c>
      <c r="G45" s="7" t="s">
        <v>375</v>
      </c>
      <c r="H45" s="7" t="s">
        <v>71</v>
      </c>
      <c r="I45" s="7" t="s">
        <v>72</v>
      </c>
      <c r="J45" s="7"/>
      <c r="K45" s="7"/>
    </row>
    <row r="46" spans="1:11" ht="34.5" customHeight="1" x14ac:dyDescent="0.2">
      <c r="A46" s="7" t="s">
        <v>376</v>
      </c>
      <c r="B46" s="7" t="s">
        <v>94</v>
      </c>
      <c r="C46" s="7" t="s">
        <v>377</v>
      </c>
      <c r="D46" s="7" t="s">
        <v>378</v>
      </c>
      <c r="E46" s="7" t="s">
        <v>379</v>
      </c>
      <c r="F46" s="7" t="s">
        <v>380</v>
      </c>
      <c r="G46" s="7" t="s">
        <v>381</v>
      </c>
      <c r="H46" s="7" t="s">
        <v>71</v>
      </c>
      <c r="I46" s="7" t="s">
        <v>72</v>
      </c>
      <c r="J46" s="7"/>
      <c r="K46" s="7"/>
    </row>
    <row r="47" spans="1:11" ht="23.25" customHeight="1" x14ac:dyDescent="0.2">
      <c r="A47" s="7" t="s">
        <v>382</v>
      </c>
      <c r="B47" s="7" t="s">
        <v>94</v>
      </c>
      <c r="C47" s="7" t="s">
        <v>383</v>
      </c>
      <c r="D47" s="7" t="s">
        <v>384</v>
      </c>
      <c r="E47" s="7" t="s">
        <v>379</v>
      </c>
      <c r="F47" s="7" t="s">
        <v>385</v>
      </c>
      <c r="G47" s="7" t="s">
        <v>386</v>
      </c>
      <c r="H47" s="7" t="s">
        <v>71</v>
      </c>
      <c r="I47" s="7" t="s">
        <v>72</v>
      </c>
      <c r="J47" s="7"/>
      <c r="K47" s="7"/>
    </row>
    <row r="48" spans="1:11" ht="23.25" customHeight="1" x14ac:dyDescent="0.2">
      <c r="A48" s="7" t="s">
        <v>387</v>
      </c>
      <c r="B48" s="7" t="s">
        <v>94</v>
      </c>
      <c r="C48" s="7" t="s">
        <v>388</v>
      </c>
      <c r="D48" s="7" t="s">
        <v>389</v>
      </c>
      <c r="E48" s="7" t="s">
        <v>390</v>
      </c>
      <c r="F48" s="7" t="s">
        <v>391</v>
      </c>
      <c r="G48" s="7" t="s">
        <v>392</v>
      </c>
      <c r="H48" s="7" t="s">
        <v>71</v>
      </c>
      <c r="I48" s="7" t="s">
        <v>72</v>
      </c>
      <c r="J48" s="7"/>
      <c r="K48" s="7"/>
    </row>
    <row r="49" spans="1:11" ht="23.25" customHeight="1" x14ac:dyDescent="0.2">
      <c r="A49" s="7" t="s">
        <v>393</v>
      </c>
      <c r="B49" s="7" t="s">
        <v>94</v>
      </c>
      <c r="C49" s="7" t="s">
        <v>394</v>
      </c>
      <c r="D49" s="7" t="s">
        <v>395</v>
      </c>
      <c r="E49" s="7" t="s">
        <v>390</v>
      </c>
      <c r="F49" s="7" t="s">
        <v>396</v>
      </c>
      <c r="G49" s="7" t="s">
        <v>397</v>
      </c>
      <c r="H49" s="7" t="s">
        <v>71</v>
      </c>
      <c r="I49" s="7" t="s">
        <v>72</v>
      </c>
      <c r="J49" s="7"/>
      <c r="K49" s="7"/>
    </row>
    <row r="50" spans="1:11" ht="23.25" customHeight="1" x14ac:dyDescent="0.2">
      <c r="A50" s="7" t="s">
        <v>398</v>
      </c>
      <c r="B50" s="7" t="s">
        <v>94</v>
      </c>
      <c r="C50" s="7" t="s">
        <v>399</v>
      </c>
      <c r="D50" s="7" t="s">
        <v>400</v>
      </c>
      <c r="E50" s="7" t="s">
        <v>390</v>
      </c>
      <c r="F50" s="7" t="s">
        <v>401</v>
      </c>
      <c r="G50" s="7" t="s">
        <v>402</v>
      </c>
      <c r="H50" s="7" t="s">
        <v>71</v>
      </c>
      <c r="I50" s="7" t="s">
        <v>72</v>
      </c>
      <c r="J50" s="7"/>
      <c r="K50" s="7"/>
    </row>
    <row r="51" spans="1:11" ht="23.25" customHeight="1" x14ac:dyDescent="0.2">
      <c r="A51" s="7" t="s">
        <v>403</v>
      </c>
      <c r="B51" s="7" t="s">
        <v>94</v>
      </c>
      <c r="C51" s="7" t="s">
        <v>404</v>
      </c>
      <c r="D51" s="7" t="s">
        <v>405</v>
      </c>
      <c r="E51" s="7" t="s">
        <v>406</v>
      </c>
      <c r="F51" s="7" t="s">
        <v>407</v>
      </c>
      <c r="G51" s="7" t="s">
        <v>408</v>
      </c>
      <c r="H51" s="7" t="s">
        <v>71</v>
      </c>
      <c r="I51" s="7" t="s">
        <v>72</v>
      </c>
      <c r="J51" s="7"/>
      <c r="K51" s="7"/>
    </row>
    <row r="52" spans="1:11" ht="23.25" customHeight="1" x14ac:dyDescent="0.2">
      <c r="A52" s="7" t="s">
        <v>409</v>
      </c>
      <c r="B52" s="7" t="s">
        <v>94</v>
      </c>
      <c r="C52" s="7" t="s">
        <v>410</v>
      </c>
      <c r="D52" s="7" t="s">
        <v>411</v>
      </c>
      <c r="E52" s="7" t="s">
        <v>406</v>
      </c>
      <c r="F52" s="7" t="s">
        <v>412</v>
      </c>
      <c r="G52" s="7" t="s">
        <v>413</v>
      </c>
      <c r="H52" s="7" t="s">
        <v>71</v>
      </c>
      <c r="I52" s="7" t="s">
        <v>72</v>
      </c>
      <c r="J52" s="7"/>
      <c r="K52" s="7"/>
    </row>
    <row r="53" spans="1:11" ht="23.25" customHeight="1" x14ac:dyDescent="0.2">
      <c r="A53" s="7" t="s">
        <v>414</v>
      </c>
      <c r="B53" s="7" t="s">
        <v>94</v>
      </c>
      <c r="C53" s="7" t="s">
        <v>415</v>
      </c>
      <c r="D53" s="7" t="s">
        <v>416</v>
      </c>
      <c r="E53" s="7" t="s">
        <v>406</v>
      </c>
      <c r="F53" s="7" t="s">
        <v>417</v>
      </c>
      <c r="G53" s="7" t="s">
        <v>418</v>
      </c>
      <c r="H53" s="7" t="s">
        <v>71</v>
      </c>
      <c r="I53" s="7" t="s">
        <v>72</v>
      </c>
      <c r="J53" s="7"/>
      <c r="K53" s="7"/>
    </row>
    <row r="54" spans="1:11" ht="23.25" customHeight="1" x14ac:dyDescent="0.2">
      <c r="A54" s="7" t="s">
        <v>419</v>
      </c>
      <c r="B54" s="7" t="s">
        <v>94</v>
      </c>
      <c r="C54" s="7" t="s">
        <v>420</v>
      </c>
      <c r="D54" s="7" t="s">
        <v>421</v>
      </c>
      <c r="E54" s="7" t="s">
        <v>422</v>
      </c>
      <c r="F54" s="7" t="s">
        <v>423</v>
      </c>
      <c r="G54" s="7" t="s">
        <v>424</v>
      </c>
      <c r="H54" s="7" t="s">
        <v>71</v>
      </c>
      <c r="I54" s="7" t="s">
        <v>72</v>
      </c>
      <c r="J54" s="7"/>
      <c r="K54" s="7"/>
    </row>
    <row r="55" spans="1:11" ht="23.25" customHeight="1" x14ac:dyDescent="0.2">
      <c r="A55" s="7" t="s">
        <v>425</v>
      </c>
      <c r="B55" s="7" t="s">
        <v>94</v>
      </c>
      <c r="C55" s="7" t="s">
        <v>426</v>
      </c>
      <c r="D55" s="7" t="s">
        <v>427</v>
      </c>
      <c r="E55" s="7" t="s">
        <v>422</v>
      </c>
      <c r="F55" s="7" t="s">
        <v>239</v>
      </c>
      <c r="G55" s="7" t="s">
        <v>428</v>
      </c>
      <c r="H55" s="7" t="s">
        <v>71</v>
      </c>
      <c r="I55" s="7" t="s">
        <v>72</v>
      </c>
      <c r="J55" s="7"/>
      <c r="K55" s="7"/>
    </row>
    <row r="56" spans="1:11" ht="23.25" customHeight="1" x14ac:dyDescent="0.2">
      <c r="A56" s="7" t="s">
        <v>429</v>
      </c>
      <c r="B56" s="7" t="s">
        <v>94</v>
      </c>
      <c r="C56" s="7" t="s">
        <v>430</v>
      </c>
      <c r="D56" s="7" t="s">
        <v>431</v>
      </c>
      <c r="E56" s="7" t="s">
        <v>422</v>
      </c>
      <c r="F56" s="7" t="s">
        <v>432</v>
      </c>
      <c r="G56" s="7" t="s">
        <v>433</v>
      </c>
      <c r="H56" s="7" t="s">
        <v>71</v>
      </c>
      <c r="I56" s="7" t="s">
        <v>72</v>
      </c>
      <c r="J56" s="7"/>
      <c r="K56" s="7"/>
    </row>
    <row r="57" spans="1:11" ht="23.25" customHeight="1" x14ac:dyDescent="0.2">
      <c r="A57" s="7" t="s">
        <v>434</v>
      </c>
      <c r="B57" s="7" t="s">
        <v>94</v>
      </c>
      <c r="C57" s="7" t="s">
        <v>435</v>
      </c>
      <c r="D57" s="7" t="s">
        <v>436</v>
      </c>
      <c r="E57" s="7" t="s">
        <v>437</v>
      </c>
      <c r="F57" s="7" t="s">
        <v>438</v>
      </c>
      <c r="G57" s="7" t="s">
        <v>439</v>
      </c>
      <c r="H57" s="7" t="s">
        <v>71</v>
      </c>
      <c r="I57" s="7" t="s">
        <v>72</v>
      </c>
      <c r="J57" s="7"/>
      <c r="K57" s="7"/>
    </row>
  </sheetData>
  <autoFilter ref="A3:K57" xr:uid="{00000000-0009-0000-0000-000003000000}"/>
  <conditionalFormatting sqref="I4:I57">
    <cfRule type="cellIs" dxfId="57" priority="2" operator="equal">
      <formula>"Implemented"</formula>
    </cfRule>
    <cfRule type="cellIs" dxfId="56" priority="3" operator="equal">
      <formula>"Verified"</formula>
    </cfRule>
    <cfRule type="cellIs" dxfId="55" priority="4" operator="equal">
      <formula>"In progress"</formula>
    </cfRule>
  </conditionalFormatting>
  <dataValidations count="2">
    <dataValidation type="list" allowBlank="1" sqref="H4:H57" xr:uid="{00000000-0002-0000-0300-000000000000}">
      <formula1>"Yes,No"</formula1>
      <formula2>0</formula2>
    </dataValidation>
    <dataValidation type="list" allowBlank="1" sqref="I4:I57" xr:uid="{00000000-0002-0000-0300-000001000000}">
      <formula1>"Not started,In progress,Implemented,Verified,Not applicable"</formula1>
      <formula2>0</formula2>
    </dataValidation>
  </dataValidation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56"/>
  <sheetViews>
    <sheetView zoomScaleNormal="100" workbookViewId="0">
      <pane xSplit="3" ySplit="13" topLeftCell="D14" activePane="bottomRight" state="frozen"/>
      <selection pane="topRight" activeCell="D1" sqref="D1"/>
      <selection pane="bottomLeft" activeCell="A14" sqref="A14"/>
      <selection pane="bottomRight"/>
    </sheetView>
  </sheetViews>
  <sheetFormatPr baseColWidth="10" defaultColWidth="8.6640625" defaultRowHeight="15" x14ac:dyDescent="0.2"/>
  <cols>
    <col min="1" max="1" width="12" customWidth="1"/>
    <col min="2" max="2" width="34" customWidth="1"/>
    <col min="3" max="3" width="52" customWidth="1"/>
    <col min="4" max="4" width="60" customWidth="1"/>
    <col min="5" max="7" width="5" customWidth="1"/>
    <col min="8" max="8" width="46" customWidth="1"/>
    <col min="9" max="9" width="34" customWidth="1"/>
    <col min="10" max="10" width="12" customWidth="1"/>
    <col min="11" max="12" width="14" customWidth="1"/>
    <col min="13" max="13" width="24" customWidth="1"/>
  </cols>
  <sheetData>
    <row r="1" spans="1:13" ht="17.25" customHeight="1" x14ac:dyDescent="0.2">
      <c r="A1" s="3" t="s">
        <v>513</v>
      </c>
    </row>
    <row r="2" spans="1:13" ht="15" customHeight="1" x14ac:dyDescent="0.2">
      <c r="A2" s="15" t="s">
        <v>514</v>
      </c>
    </row>
    <row r="3" spans="1:13" ht="15" customHeight="1" x14ac:dyDescent="0.2">
      <c r="A3" s="17" t="s">
        <v>515</v>
      </c>
      <c r="B3" s="17" t="s">
        <v>516</v>
      </c>
      <c r="C3" s="17" t="s">
        <v>517</v>
      </c>
    </row>
    <row r="4" spans="1:13" ht="45.75" customHeight="1" x14ac:dyDescent="0.2">
      <c r="A4" s="18" t="s">
        <v>518</v>
      </c>
      <c r="B4" s="19" t="s">
        <v>519</v>
      </c>
      <c r="C4" s="19" t="s">
        <v>520</v>
      </c>
    </row>
    <row r="5" spans="1:13" ht="45.75" customHeight="1" x14ac:dyDescent="0.2">
      <c r="A5" s="18" t="s">
        <v>521</v>
      </c>
      <c r="B5" s="19" t="s">
        <v>522</v>
      </c>
      <c r="C5" s="19" t="s">
        <v>523</v>
      </c>
    </row>
    <row r="6" spans="1:13" ht="45.75" customHeight="1" x14ac:dyDescent="0.2">
      <c r="A6" s="18" t="s">
        <v>524</v>
      </c>
      <c r="B6" s="19" t="s">
        <v>525</v>
      </c>
      <c r="C6" s="19" t="s">
        <v>526</v>
      </c>
    </row>
    <row r="7" spans="1:13" ht="45.75" customHeight="1" x14ac:dyDescent="0.2">
      <c r="A7" s="18" t="s">
        <v>527</v>
      </c>
      <c r="B7" s="19" t="s">
        <v>528</v>
      </c>
      <c r="C7" s="19" t="s">
        <v>529</v>
      </c>
    </row>
    <row r="8" spans="1:13" ht="45.75" customHeight="1" x14ac:dyDescent="0.2">
      <c r="A8" s="18" t="s">
        <v>530</v>
      </c>
      <c r="B8" s="19" t="s">
        <v>531</v>
      </c>
      <c r="C8" s="19" t="s">
        <v>532</v>
      </c>
    </row>
    <row r="9" spans="1:13" ht="45.75" customHeight="1" x14ac:dyDescent="0.2">
      <c r="A9" s="18" t="s">
        <v>533</v>
      </c>
      <c r="B9" s="19" t="s">
        <v>534</v>
      </c>
      <c r="C9" s="19" t="s">
        <v>535</v>
      </c>
    </row>
    <row r="10" spans="1:13" ht="45.75" customHeight="1" x14ac:dyDescent="0.2">
      <c r="A10" s="18" t="s">
        <v>536</v>
      </c>
      <c r="B10" s="19" t="s">
        <v>537</v>
      </c>
      <c r="C10" s="19" t="s">
        <v>538</v>
      </c>
    </row>
    <row r="11" spans="1:13" ht="45.75" customHeight="1" x14ac:dyDescent="0.2">
      <c r="A11" s="18" t="s">
        <v>539</v>
      </c>
      <c r="B11" s="19" t="s">
        <v>540</v>
      </c>
      <c r="C11" s="19" t="s">
        <v>541</v>
      </c>
    </row>
    <row r="13" spans="1:13" ht="23.25" customHeight="1" x14ac:dyDescent="0.2">
      <c r="A13" s="20" t="s">
        <v>542</v>
      </c>
      <c r="B13" s="20" t="s">
        <v>50</v>
      </c>
      <c r="C13" s="20" t="s">
        <v>543</v>
      </c>
      <c r="D13" s="20" t="s">
        <v>173</v>
      </c>
      <c r="E13" s="20" t="s">
        <v>52</v>
      </c>
      <c r="F13" s="20" t="s">
        <v>53</v>
      </c>
      <c r="G13" s="20" t="s">
        <v>54</v>
      </c>
      <c r="H13" s="20" t="s">
        <v>544</v>
      </c>
      <c r="I13" s="20" t="s">
        <v>57</v>
      </c>
      <c r="J13" s="20" t="s">
        <v>545</v>
      </c>
      <c r="K13" s="20" t="s">
        <v>59</v>
      </c>
      <c r="L13" s="20" t="s">
        <v>60</v>
      </c>
      <c r="M13" s="20" t="s">
        <v>61</v>
      </c>
    </row>
    <row r="14" spans="1:13" ht="15" customHeight="1" x14ac:dyDescent="0.2">
      <c r="A14" s="6" t="s">
        <v>546</v>
      </c>
      <c r="B14" s="6" t="s">
        <v>547</v>
      </c>
      <c r="C14" s="6"/>
      <c r="D14" s="6"/>
      <c r="E14" s="6"/>
      <c r="F14" s="6"/>
      <c r="G14" s="6"/>
      <c r="H14" s="6"/>
      <c r="I14" s="6"/>
      <c r="J14" s="6"/>
      <c r="K14" s="6"/>
      <c r="L14" s="6"/>
      <c r="M14" s="6"/>
    </row>
    <row r="15" spans="1:13" ht="45.75" customHeight="1" x14ac:dyDescent="0.2">
      <c r="A15" s="7" t="s">
        <v>548</v>
      </c>
      <c r="B15" s="7" t="s">
        <v>549</v>
      </c>
      <c r="C15" s="7" t="s">
        <v>550</v>
      </c>
      <c r="D15" s="7" t="s">
        <v>551</v>
      </c>
      <c r="E15" s="8"/>
      <c r="F15" s="8"/>
      <c r="G15" s="8"/>
      <c r="H15" s="7" t="s">
        <v>552</v>
      </c>
      <c r="I15" s="7" t="s">
        <v>553</v>
      </c>
      <c r="J15" s="7" t="s">
        <v>71</v>
      </c>
      <c r="K15" s="7" t="s">
        <v>72</v>
      </c>
      <c r="L15" s="7"/>
      <c r="M15" s="7"/>
    </row>
    <row r="16" spans="1:13" ht="23.25" customHeight="1" x14ac:dyDescent="0.2">
      <c r="A16" s="7" t="s">
        <v>554</v>
      </c>
      <c r="B16" s="7" t="s">
        <v>555</v>
      </c>
      <c r="C16" s="7" t="s">
        <v>556</v>
      </c>
      <c r="D16" s="7" t="s">
        <v>557</v>
      </c>
      <c r="E16" s="8"/>
      <c r="F16" s="8"/>
      <c r="G16" s="8"/>
      <c r="H16" s="7" t="s">
        <v>552</v>
      </c>
      <c r="I16" s="7" t="s">
        <v>558</v>
      </c>
      <c r="J16" s="7" t="s">
        <v>71</v>
      </c>
      <c r="K16" s="7" t="s">
        <v>72</v>
      </c>
      <c r="L16" s="7"/>
      <c r="M16" s="7"/>
    </row>
    <row r="17" spans="1:13" ht="34.5" customHeight="1" x14ac:dyDescent="0.2">
      <c r="A17" s="7" t="s">
        <v>559</v>
      </c>
      <c r="B17" s="7" t="s">
        <v>560</v>
      </c>
      <c r="C17" s="7" t="s">
        <v>561</v>
      </c>
      <c r="D17" s="7" t="s">
        <v>562</v>
      </c>
      <c r="E17" s="8"/>
      <c r="F17" s="8"/>
      <c r="G17" s="8"/>
      <c r="H17" s="7" t="s">
        <v>552</v>
      </c>
      <c r="I17" s="7" t="s">
        <v>563</v>
      </c>
      <c r="J17" s="7" t="s">
        <v>71</v>
      </c>
      <c r="K17" s="7" t="s">
        <v>72</v>
      </c>
      <c r="L17" s="7"/>
      <c r="M17" s="7"/>
    </row>
    <row r="18" spans="1:13" ht="15" customHeight="1" x14ac:dyDescent="0.2">
      <c r="A18" s="6" t="s">
        <v>564</v>
      </c>
      <c r="B18" s="6" t="s">
        <v>565</v>
      </c>
      <c r="C18" s="6"/>
      <c r="D18" s="6"/>
      <c r="E18" s="6"/>
      <c r="F18" s="6"/>
      <c r="G18" s="6"/>
      <c r="H18" s="6"/>
      <c r="I18" s="6"/>
      <c r="J18" s="6"/>
      <c r="K18" s="6"/>
      <c r="L18" s="6"/>
      <c r="M18" s="6"/>
    </row>
    <row r="19" spans="1:13" ht="79.5" customHeight="1" x14ac:dyDescent="0.2">
      <c r="A19" s="7" t="s">
        <v>566</v>
      </c>
      <c r="B19" s="7" t="s">
        <v>565</v>
      </c>
      <c r="C19" s="7" t="s">
        <v>567</v>
      </c>
      <c r="D19" s="7" t="s">
        <v>568</v>
      </c>
      <c r="E19" s="8" t="s">
        <v>67</v>
      </c>
      <c r="F19" s="8"/>
      <c r="G19" s="8"/>
      <c r="H19" s="7" t="s">
        <v>569</v>
      </c>
      <c r="I19" s="7" t="s">
        <v>570</v>
      </c>
      <c r="J19" s="7" t="s">
        <v>71</v>
      </c>
      <c r="K19" s="7" t="s">
        <v>72</v>
      </c>
      <c r="L19" s="7"/>
      <c r="M19" s="7"/>
    </row>
    <row r="20" spans="1:13" ht="15" customHeight="1" x14ac:dyDescent="0.2">
      <c r="A20" s="6" t="s">
        <v>571</v>
      </c>
      <c r="B20" s="6" t="s">
        <v>572</v>
      </c>
      <c r="C20" s="6"/>
      <c r="D20" s="6"/>
      <c r="E20" s="6"/>
      <c r="F20" s="6"/>
      <c r="G20" s="6"/>
      <c r="H20" s="6"/>
      <c r="I20" s="6"/>
      <c r="J20" s="6"/>
      <c r="K20" s="6"/>
      <c r="L20" s="6"/>
      <c r="M20" s="6"/>
    </row>
    <row r="21" spans="1:13" ht="34.5" customHeight="1" x14ac:dyDescent="0.2">
      <c r="A21" s="7" t="s">
        <v>573</v>
      </c>
      <c r="B21" s="7" t="s">
        <v>574</v>
      </c>
      <c r="C21" s="7" t="s">
        <v>575</v>
      </c>
      <c r="D21" s="7" t="s">
        <v>576</v>
      </c>
      <c r="E21" s="8"/>
      <c r="F21" s="8"/>
      <c r="G21" s="8"/>
      <c r="H21" s="7" t="s">
        <v>552</v>
      </c>
      <c r="I21" s="7" t="s">
        <v>577</v>
      </c>
      <c r="J21" s="7" t="s">
        <v>71</v>
      </c>
      <c r="K21" s="7" t="s">
        <v>72</v>
      </c>
      <c r="L21" s="7"/>
      <c r="M21" s="7"/>
    </row>
    <row r="22" spans="1:13" ht="23.25" customHeight="1" x14ac:dyDescent="0.2">
      <c r="A22" s="7" t="s">
        <v>578</v>
      </c>
      <c r="B22" s="7" t="s">
        <v>579</v>
      </c>
      <c r="C22" s="7" t="s">
        <v>580</v>
      </c>
      <c r="D22" s="7" t="s">
        <v>581</v>
      </c>
      <c r="E22" s="8"/>
      <c r="F22" s="8"/>
      <c r="G22" s="8"/>
      <c r="H22" s="7" t="s">
        <v>552</v>
      </c>
      <c r="I22" s="7" t="s">
        <v>582</v>
      </c>
      <c r="J22" s="7" t="s">
        <v>71</v>
      </c>
      <c r="K22" s="7" t="s">
        <v>72</v>
      </c>
      <c r="L22" s="7"/>
      <c r="M22" s="7"/>
    </row>
    <row r="23" spans="1:13" ht="15" customHeight="1" x14ac:dyDescent="0.2">
      <c r="A23" s="6" t="s">
        <v>583</v>
      </c>
      <c r="B23" s="6" t="s">
        <v>584</v>
      </c>
      <c r="C23" s="6"/>
      <c r="D23" s="6"/>
      <c r="E23" s="6"/>
      <c r="F23" s="6"/>
      <c r="G23" s="6"/>
      <c r="H23" s="6"/>
      <c r="I23" s="6"/>
      <c r="J23" s="6"/>
      <c r="K23" s="6"/>
      <c r="L23" s="6"/>
      <c r="M23" s="6"/>
    </row>
    <row r="24" spans="1:13" ht="34.5" customHeight="1" x14ac:dyDescent="0.2">
      <c r="A24" s="7" t="s">
        <v>585</v>
      </c>
      <c r="B24" s="7" t="s">
        <v>586</v>
      </c>
      <c r="C24" s="7" t="s">
        <v>587</v>
      </c>
      <c r="D24" s="7" t="s">
        <v>588</v>
      </c>
      <c r="E24" s="8"/>
      <c r="F24" s="8"/>
      <c r="G24" s="8"/>
      <c r="H24" s="7" t="s">
        <v>552</v>
      </c>
      <c r="I24" s="7" t="s">
        <v>589</v>
      </c>
      <c r="J24" s="7" t="s">
        <v>71</v>
      </c>
      <c r="K24" s="7" t="s">
        <v>72</v>
      </c>
      <c r="L24" s="7"/>
      <c r="M24" s="7"/>
    </row>
    <row r="25" spans="1:13" ht="34.5" customHeight="1" x14ac:dyDescent="0.2">
      <c r="A25" s="7" t="s">
        <v>590</v>
      </c>
      <c r="B25" s="7" t="s">
        <v>591</v>
      </c>
      <c r="C25" s="7" t="s">
        <v>592</v>
      </c>
      <c r="D25" s="7" t="s">
        <v>593</v>
      </c>
      <c r="E25" s="8"/>
      <c r="F25" s="8" t="s">
        <v>67</v>
      </c>
      <c r="G25" s="8"/>
      <c r="H25" s="7" t="s">
        <v>594</v>
      </c>
      <c r="I25" s="7" t="s">
        <v>595</v>
      </c>
      <c r="J25" s="7" t="s">
        <v>71</v>
      </c>
      <c r="K25" s="7" t="s">
        <v>72</v>
      </c>
      <c r="L25" s="7"/>
      <c r="M25" s="7"/>
    </row>
    <row r="26" spans="1:13" ht="45.75" customHeight="1" x14ac:dyDescent="0.2">
      <c r="A26" s="7" t="s">
        <v>596</v>
      </c>
      <c r="B26" s="7" t="s">
        <v>597</v>
      </c>
      <c r="C26" s="7" t="s">
        <v>598</v>
      </c>
      <c r="D26" s="7" t="s">
        <v>599</v>
      </c>
      <c r="E26" s="8" t="s">
        <v>67</v>
      </c>
      <c r="F26" s="8" t="s">
        <v>67</v>
      </c>
      <c r="G26" s="8"/>
      <c r="H26" s="7" t="s">
        <v>600</v>
      </c>
      <c r="I26" s="7" t="s">
        <v>601</v>
      </c>
      <c r="J26" s="7" t="s">
        <v>71</v>
      </c>
      <c r="K26" s="7" t="s">
        <v>72</v>
      </c>
      <c r="L26" s="7"/>
      <c r="M26" s="7"/>
    </row>
    <row r="27" spans="1:13" ht="34.5" customHeight="1" x14ac:dyDescent="0.2">
      <c r="A27" s="7" t="s">
        <v>602</v>
      </c>
      <c r="B27" s="7" t="s">
        <v>603</v>
      </c>
      <c r="C27" s="7" t="s">
        <v>604</v>
      </c>
      <c r="D27" s="7" t="s">
        <v>605</v>
      </c>
      <c r="E27" s="8"/>
      <c r="F27" s="8"/>
      <c r="G27" s="8"/>
      <c r="H27" s="7" t="s">
        <v>552</v>
      </c>
      <c r="I27" s="7" t="s">
        <v>606</v>
      </c>
      <c r="J27" s="7" t="s">
        <v>71</v>
      </c>
      <c r="K27" s="7" t="s">
        <v>72</v>
      </c>
      <c r="L27" s="7"/>
      <c r="M27" s="7"/>
    </row>
    <row r="28" spans="1:13" ht="34.5" customHeight="1" x14ac:dyDescent="0.2">
      <c r="A28" s="7" t="s">
        <v>607</v>
      </c>
      <c r="B28" s="7" t="s">
        <v>608</v>
      </c>
      <c r="C28" s="7" t="s">
        <v>609</v>
      </c>
      <c r="D28" s="7" t="s">
        <v>610</v>
      </c>
      <c r="E28" s="8"/>
      <c r="F28" s="8" t="s">
        <v>67</v>
      </c>
      <c r="G28" s="8" t="s">
        <v>67</v>
      </c>
      <c r="H28" s="7" t="s">
        <v>611</v>
      </c>
      <c r="I28" s="7" t="s">
        <v>612</v>
      </c>
      <c r="J28" s="7" t="s">
        <v>71</v>
      </c>
      <c r="K28" s="7" t="s">
        <v>72</v>
      </c>
      <c r="L28" s="7"/>
      <c r="M28" s="7"/>
    </row>
    <row r="29" spans="1:13" ht="45.75" customHeight="1" x14ac:dyDescent="0.2">
      <c r="A29" s="7" t="s">
        <v>613</v>
      </c>
      <c r="B29" s="7" t="s">
        <v>614</v>
      </c>
      <c r="C29" s="7" t="s">
        <v>615</v>
      </c>
      <c r="D29" s="7" t="s">
        <v>616</v>
      </c>
      <c r="E29" s="8"/>
      <c r="F29" s="8"/>
      <c r="G29" s="8"/>
      <c r="H29" s="7" t="s">
        <v>552</v>
      </c>
      <c r="I29" s="7" t="s">
        <v>617</v>
      </c>
      <c r="J29" s="7" t="s">
        <v>71</v>
      </c>
      <c r="K29" s="7" t="s">
        <v>72</v>
      </c>
      <c r="L29" s="7"/>
      <c r="M29" s="7"/>
    </row>
    <row r="30" spans="1:13" ht="34.5" customHeight="1" x14ac:dyDescent="0.2">
      <c r="A30" s="7" t="s">
        <v>618</v>
      </c>
      <c r="B30" s="7" t="s">
        <v>619</v>
      </c>
      <c r="C30" s="7" t="s">
        <v>620</v>
      </c>
      <c r="D30" s="7" t="s">
        <v>621</v>
      </c>
      <c r="E30" s="8"/>
      <c r="F30" s="8"/>
      <c r="G30" s="8"/>
      <c r="H30" s="7" t="s">
        <v>552</v>
      </c>
      <c r="I30" s="7" t="s">
        <v>622</v>
      </c>
      <c r="J30" s="7" t="s">
        <v>71</v>
      </c>
      <c r="K30" s="7" t="s">
        <v>72</v>
      </c>
      <c r="L30" s="7"/>
      <c r="M30" s="7"/>
    </row>
    <row r="31" spans="1:13" ht="68.25" customHeight="1" x14ac:dyDescent="0.2">
      <c r="A31" s="7" t="s">
        <v>623</v>
      </c>
      <c r="B31" s="7" t="s">
        <v>624</v>
      </c>
      <c r="C31" s="7" t="s">
        <v>625</v>
      </c>
      <c r="D31" s="7" t="s">
        <v>626</v>
      </c>
      <c r="E31" s="8" t="s">
        <v>67</v>
      </c>
      <c r="F31" s="8" t="s">
        <v>67</v>
      </c>
      <c r="G31" s="8" t="s">
        <v>67</v>
      </c>
      <c r="H31" s="7" t="s">
        <v>627</v>
      </c>
      <c r="I31" s="7" t="s">
        <v>628</v>
      </c>
      <c r="J31" s="7" t="s">
        <v>71</v>
      </c>
      <c r="K31" s="7" t="s">
        <v>72</v>
      </c>
      <c r="L31" s="7"/>
      <c r="M31" s="7"/>
    </row>
    <row r="32" spans="1:13" ht="15" customHeight="1" x14ac:dyDescent="0.2">
      <c r="A32" s="6" t="s">
        <v>629</v>
      </c>
      <c r="B32" s="6" t="s">
        <v>630</v>
      </c>
      <c r="C32" s="6"/>
      <c r="D32" s="6"/>
      <c r="E32" s="6"/>
      <c r="F32" s="6"/>
      <c r="G32" s="6"/>
      <c r="H32" s="6"/>
      <c r="I32" s="6"/>
      <c r="J32" s="6"/>
      <c r="K32" s="6"/>
      <c r="L32" s="6"/>
      <c r="M32" s="6"/>
    </row>
    <row r="33" spans="1:13" ht="45.75" customHeight="1" x14ac:dyDescent="0.2">
      <c r="A33" s="7" t="s">
        <v>631</v>
      </c>
      <c r="B33" s="7" t="s">
        <v>632</v>
      </c>
      <c r="C33" s="7" t="s">
        <v>633</v>
      </c>
      <c r="D33" s="7" t="s">
        <v>634</v>
      </c>
      <c r="E33" s="8"/>
      <c r="F33" s="8"/>
      <c r="G33" s="8"/>
      <c r="H33" s="7" t="s">
        <v>552</v>
      </c>
      <c r="I33" s="7" t="s">
        <v>635</v>
      </c>
      <c r="J33" s="7" t="s">
        <v>71</v>
      </c>
      <c r="K33" s="7" t="s">
        <v>72</v>
      </c>
      <c r="L33" s="7"/>
      <c r="M33" s="7"/>
    </row>
    <row r="34" spans="1:13" ht="45.75" customHeight="1" x14ac:dyDescent="0.2">
      <c r="A34" s="7" t="s">
        <v>636</v>
      </c>
      <c r="B34" s="7" t="s">
        <v>637</v>
      </c>
      <c r="C34" s="7" t="s">
        <v>638</v>
      </c>
      <c r="D34" s="7" t="s">
        <v>639</v>
      </c>
      <c r="E34" s="8"/>
      <c r="F34" s="8"/>
      <c r="G34" s="8"/>
      <c r="H34" s="7" t="s">
        <v>552</v>
      </c>
      <c r="I34" s="7" t="s">
        <v>640</v>
      </c>
      <c r="J34" s="7" t="s">
        <v>71</v>
      </c>
      <c r="K34" s="7" t="s">
        <v>72</v>
      </c>
      <c r="L34" s="7"/>
      <c r="M34" s="7"/>
    </row>
    <row r="35" spans="1:13" ht="34.5" customHeight="1" x14ac:dyDescent="0.2">
      <c r="A35" s="7" t="s">
        <v>641</v>
      </c>
      <c r="B35" s="7" t="s">
        <v>642</v>
      </c>
      <c r="C35" s="7" t="s">
        <v>643</v>
      </c>
      <c r="D35" s="7" t="s">
        <v>644</v>
      </c>
      <c r="E35" s="8"/>
      <c r="F35" s="8"/>
      <c r="G35" s="8"/>
      <c r="H35" s="7" t="s">
        <v>552</v>
      </c>
      <c r="I35" s="7" t="s">
        <v>645</v>
      </c>
      <c r="J35" s="7" t="s">
        <v>71</v>
      </c>
      <c r="K35" s="7" t="s">
        <v>72</v>
      </c>
      <c r="L35" s="7"/>
      <c r="M35" s="7"/>
    </row>
    <row r="36" spans="1:13" ht="34.5" customHeight="1" x14ac:dyDescent="0.2">
      <c r="A36" s="7" t="s">
        <v>646</v>
      </c>
      <c r="B36" s="7" t="s">
        <v>647</v>
      </c>
      <c r="C36" s="7" t="s">
        <v>648</v>
      </c>
      <c r="D36" s="7" t="s">
        <v>649</v>
      </c>
      <c r="E36" s="8"/>
      <c r="F36" s="8" t="s">
        <v>67</v>
      </c>
      <c r="G36" s="8" t="s">
        <v>67</v>
      </c>
      <c r="H36" s="7" t="s">
        <v>650</v>
      </c>
      <c r="I36" s="7" t="s">
        <v>651</v>
      </c>
      <c r="J36" s="7" t="s">
        <v>71</v>
      </c>
      <c r="K36" s="7" t="s">
        <v>72</v>
      </c>
      <c r="L36" s="7"/>
      <c r="M36" s="7"/>
    </row>
    <row r="37" spans="1:13" ht="34.5" customHeight="1" x14ac:dyDescent="0.2">
      <c r="A37" s="7" t="s">
        <v>652</v>
      </c>
      <c r="B37" s="7" t="s">
        <v>653</v>
      </c>
      <c r="C37" s="7" t="s">
        <v>654</v>
      </c>
      <c r="D37" s="7" t="s">
        <v>655</v>
      </c>
      <c r="E37" s="8"/>
      <c r="F37" s="8"/>
      <c r="G37" s="8"/>
      <c r="H37" s="7" t="s">
        <v>552</v>
      </c>
      <c r="I37" s="7" t="s">
        <v>656</v>
      </c>
      <c r="J37" s="7" t="s">
        <v>71</v>
      </c>
      <c r="K37" s="7" t="s">
        <v>72</v>
      </c>
      <c r="L37" s="7"/>
      <c r="M37" s="7"/>
    </row>
    <row r="38" spans="1:13" ht="34.5" customHeight="1" x14ac:dyDescent="0.2">
      <c r="A38" s="7" t="s">
        <v>657</v>
      </c>
      <c r="B38" s="7" t="s">
        <v>658</v>
      </c>
      <c r="C38" s="7" t="s">
        <v>659</v>
      </c>
      <c r="D38" s="7" t="s">
        <v>660</v>
      </c>
      <c r="E38" s="8" t="s">
        <v>67</v>
      </c>
      <c r="F38" s="8"/>
      <c r="G38" s="8"/>
      <c r="H38" s="7" t="s">
        <v>661</v>
      </c>
      <c r="I38" s="7" t="s">
        <v>662</v>
      </c>
      <c r="J38" s="7" t="s">
        <v>71</v>
      </c>
      <c r="K38" s="7" t="s">
        <v>72</v>
      </c>
      <c r="L38" s="7"/>
      <c r="M38" s="7"/>
    </row>
    <row r="39" spans="1:13" ht="34.5" customHeight="1" x14ac:dyDescent="0.2">
      <c r="A39" s="7" t="s">
        <v>663</v>
      </c>
      <c r="B39" s="7" t="s">
        <v>664</v>
      </c>
      <c r="C39" s="7" t="s">
        <v>665</v>
      </c>
      <c r="D39" s="7" t="s">
        <v>666</v>
      </c>
      <c r="E39" s="8"/>
      <c r="F39" s="8"/>
      <c r="G39" s="8"/>
      <c r="H39" s="7" t="s">
        <v>552</v>
      </c>
      <c r="I39" s="7" t="s">
        <v>667</v>
      </c>
      <c r="J39" s="7" t="s">
        <v>71</v>
      </c>
      <c r="K39" s="7" t="s">
        <v>72</v>
      </c>
      <c r="L39" s="7"/>
      <c r="M39" s="7"/>
    </row>
    <row r="40" spans="1:13" ht="34.5" customHeight="1" x14ac:dyDescent="0.2">
      <c r="A40" s="7" t="s">
        <v>668</v>
      </c>
      <c r="B40" s="7" t="s">
        <v>669</v>
      </c>
      <c r="C40" s="7" t="s">
        <v>670</v>
      </c>
      <c r="D40" s="7" t="s">
        <v>671</v>
      </c>
      <c r="E40" s="8"/>
      <c r="F40" s="8"/>
      <c r="G40" s="8"/>
      <c r="H40" s="7" t="s">
        <v>552</v>
      </c>
      <c r="I40" s="7" t="s">
        <v>672</v>
      </c>
      <c r="J40" s="7" t="s">
        <v>71</v>
      </c>
      <c r="K40" s="7" t="s">
        <v>72</v>
      </c>
      <c r="L40" s="7"/>
      <c r="M40" s="7"/>
    </row>
    <row r="41" spans="1:13" ht="34.5" customHeight="1" x14ac:dyDescent="0.2">
      <c r="A41" s="7" t="s">
        <v>673</v>
      </c>
      <c r="B41" s="7" t="s">
        <v>674</v>
      </c>
      <c r="C41" s="7" t="s">
        <v>675</v>
      </c>
      <c r="D41" s="7" t="s">
        <v>676</v>
      </c>
      <c r="E41" s="8"/>
      <c r="F41" s="8"/>
      <c r="G41" s="8"/>
      <c r="H41" s="7" t="s">
        <v>552</v>
      </c>
      <c r="I41" s="7" t="s">
        <v>677</v>
      </c>
      <c r="J41" s="7" t="s">
        <v>71</v>
      </c>
      <c r="K41" s="7" t="s">
        <v>72</v>
      </c>
      <c r="L41" s="7"/>
      <c r="M41" s="7"/>
    </row>
    <row r="42" spans="1:13" ht="45.75" customHeight="1" x14ac:dyDescent="0.2">
      <c r="A42" s="7" t="s">
        <v>678</v>
      </c>
      <c r="B42" s="7" t="s">
        <v>679</v>
      </c>
      <c r="C42" s="7" t="s">
        <v>680</v>
      </c>
      <c r="D42" s="7" t="s">
        <v>681</v>
      </c>
      <c r="E42" s="8" t="s">
        <v>67</v>
      </c>
      <c r="F42" s="8"/>
      <c r="G42" s="8"/>
      <c r="H42" s="7" t="s">
        <v>682</v>
      </c>
      <c r="I42" s="7" t="s">
        <v>683</v>
      </c>
      <c r="J42" s="7" t="s">
        <v>71</v>
      </c>
      <c r="K42" s="7" t="s">
        <v>72</v>
      </c>
      <c r="L42" s="7"/>
      <c r="M42" s="7"/>
    </row>
    <row r="43" spans="1:13" ht="57" customHeight="1" x14ac:dyDescent="0.2">
      <c r="A43" s="7" t="s">
        <v>684</v>
      </c>
      <c r="B43" s="7" t="s">
        <v>685</v>
      </c>
      <c r="C43" s="7" t="s">
        <v>686</v>
      </c>
      <c r="D43" s="7" t="s">
        <v>687</v>
      </c>
      <c r="E43" s="8"/>
      <c r="F43" s="8" t="s">
        <v>67</v>
      </c>
      <c r="G43" s="8" t="s">
        <v>67</v>
      </c>
      <c r="H43" s="7" t="s">
        <v>688</v>
      </c>
      <c r="I43" s="7" t="s">
        <v>689</v>
      </c>
      <c r="J43" s="7" t="s">
        <v>71</v>
      </c>
      <c r="K43" s="7" t="s">
        <v>72</v>
      </c>
      <c r="L43" s="7"/>
      <c r="M43" s="7"/>
    </row>
    <row r="44" spans="1:13" ht="45.75" customHeight="1" x14ac:dyDescent="0.2">
      <c r="A44" s="7" t="s">
        <v>690</v>
      </c>
      <c r="B44" s="7" t="s">
        <v>691</v>
      </c>
      <c r="C44" s="7" t="s">
        <v>692</v>
      </c>
      <c r="D44" s="7" t="s">
        <v>693</v>
      </c>
      <c r="E44" s="8"/>
      <c r="F44" s="8"/>
      <c r="G44" s="8"/>
      <c r="H44" s="7" t="s">
        <v>552</v>
      </c>
      <c r="I44" s="7" t="s">
        <v>694</v>
      </c>
      <c r="J44" s="7" t="s">
        <v>71</v>
      </c>
      <c r="K44" s="7" t="s">
        <v>72</v>
      </c>
      <c r="L44" s="7"/>
      <c r="M44" s="7"/>
    </row>
    <row r="45" spans="1:13" ht="15" customHeight="1" x14ac:dyDescent="0.2">
      <c r="A45" s="6" t="s">
        <v>695</v>
      </c>
      <c r="B45" s="6" t="s">
        <v>696</v>
      </c>
      <c r="C45" s="6"/>
      <c r="D45" s="6"/>
      <c r="E45" s="6"/>
      <c r="F45" s="6"/>
      <c r="G45" s="6"/>
      <c r="H45" s="6"/>
      <c r="I45" s="6"/>
      <c r="J45" s="6"/>
      <c r="K45" s="6"/>
      <c r="L45" s="6"/>
      <c r="M45" s="6"/>
    </row>
    <row r="46" spans="1:13" ht="34.5" customHeight="1" x14ac:dyDescent="0.2">
      <c r="A46" s="7" t="s">
        <v>697</v>
      </c>
      <c r="B46" s="7" t="s">
        <v>698</v>
      </c>
      <c r="C46" s="7" t="s">
        <v>699</v>
      </c>
      <c r="D46" s="7" t="s">
        <v>700</v>
      </c>
      <c r="E46" s="8"/>
      <c r="F46" s="8"/>
      <c r="G46" s="8"/>
      <c r="H46" s="7" t="s">
        <v>552</v>
      </c>
      <c r="I46" s="7" t="s">
        <v>701</v>
      </c>
      <c r="J46" s="7" t="s">
        <v>71</v>
      </c>
      <c r="K46" s="7" t="s">
        <v>72</v>
      </c>
      <c r="L46" s="7"/>
      <c r="M46" s="7"/>
    </row>
    <row r="47" spans="1:13" ht="34.5" customHeight="1" x14ac:dyDescent="0.2">
      <c r="A47" s="7" t="s">
        <v>702</v>
      </c>
      <c r="B47" s="7" t="s">
        <v>703</v>
      </c>
      <c r="C47" s="7" t="s">
        <v>704</v>
      </c>
      <c r="D47" s="7" t="s">
        <v>705</v>
      </c>
      <c r="E47" s="8" t="s">
        <v>67</v>
      </c>
      <c r="F47" s="8" t="s">
        <v>67</v>
      </c>
      <c r="G47" s="8" t="s">
        <v>67</v>
      </c>
      <c r="H47" s="7" t="s">
        <v>706</v>
      </c>
      <c r="I47" s="7" t="s">
        <v>707</v>
      </c>
      <c r="J47" s="7" t="s">
        <v>71</v>
      </c>
      <c r="K47" s="7" t="s">
        <v>72</v>
      </c>
      <c r="L47" s="7"/>
      <c r="M47" s="7"/>
    </row>
    <row r="48" spans="1:13" ht="15" customHeight="1" x14ac:dyDescent="0.2">
      <c r="A48" s="6" t="s">
        <v>708</v>
      </c>
      <c r="B48" s="6" t="s">
        <v>709</v>
      </c>
      <c r="C48" s="6"/>
      <c r="D48" s="6"/>
      <c r="E48" s="6"/>
      <c r="F48" s="6"/>
      <c r="G48" s="6"/>
      <c r="H48" s="6"/>
      <c r="I48" s="6"/>
      <c r="J48" s="6"/>
      <c r="K48" s="6"/>
      <c r="L48" s="6"/>
      <c r="M48" s="6"/>
    </row>
    <row r="49" spans="1:13" ht="57" customHeight="1" x14ac:dyDescent="0.2">
      <c r="A49" s="7" t="s">
        <v>710</v>
      </c>
      <c r="B49" s="7" t="s">
        <v>711</v>
      </c>
      <c r="C49" s="7" t="s">
        <v>712</v>
      </c>
      <c r="D49" s="7" t="s">
        <v>713</v>
      </c>
      <c r="E49" s="8"/>
      <c r="F49" s="8"/>
      <c r="G49" s="8"/>
      <c r="H49" s="7" t="s">
        <v>552</v>
      </c>
      <c r="I49" s="7" t="s">
        <v>714</v>
      </c>
      <c r="J49" s="7" t="s">
        <v>71</v>
      </c>
      <c r="K49" s="7" t="s">
        <v>72</v>
      </c>
      <c r="L49" s="7"/>
      <c r="M49" s="7"/>
    </row>
    <row r="50" spans="1:13" ht="15" customHeight="1" x14ac:dyDescent="0.2">
      <c r="A50" s="6" t="s">
        <v>715</v>
      </c>
      <c r="B50" s="6" t="s">
        <v>716</v>
      </c>
      <c r="C50" s="6"/>
      <c r="D50" s="6"/>
      <c r="E50" s="6"/>
      <c r="F50" s="6"/>
      <c r="G50" s="6"/>
      <c r="H50" s="6"/>
      <c r="I50" s="6"/>
      <c r="J50" s="6"/>
      <c r="K50" s="6"/>
      <c r="L50" s="6"/>
      <c r="M50" s="6"/>
    </row>
    <row r="51" spans="1:13" ht="34.5" customHeight="1" x14ac:dyDescent="0.2">
      <c r="A51" s="7" t="s">
        <v>717</v>
      </c>
      <c r="B51" s="7" t="s">
        <v>718</v>
      </c>
      <c r="C51" s="7" t="s">
        <v>719</v>
      </c>
      <c r="D51" s="7" t="s">
        <v>720</v>
      </c>
      <c r="E51" s="8"/>
      <c r="F51" s="8" t="s">
        <v>67</v>
      </c>
      <c r="G51" s="8" t="s">
        <v>67</v>
      </c>
      <c r="H51" s="7" t="s">
        <v>721</v>
      </c>
      <c r="I51" s="7" t="s">
        <v>722</v>
      </c>
      <c r="J51" s="7" t="s">
        <v>71</v>
      </c>
      <c r="K51" s="7" t="s">
        <v>72</v>
      </c>
      <c r="L51" s="7"/>
      <c r="M51" s="7"/>
    </row>
    <row r="52" spans="1:13" ht="45.75" customHeight="1" x14ac:dyDescent="0.2">
      <c r="A52" s="7" t="s">
        <v>723</v>
      </c>
      <c r="B52" s="7" t="s">
        <v>724</v>
      </c>
      <c r="C52" s="7" t="s">
        <v>725</v>
      </c>
      <c r="D52" s="7" t="s">
        <v>726</v>
      </c>
      <c r="E52" s="8" t="s">
        <v>67</v>
      </c>
      <c r="F52" s="8" t="s">
        <v>67</v>
      </c>
      <c r="G52" s="8" t="s">
        <v>67</v>
      </c>
      <c r="H52" s="7" t="s">
        <v>727</v>
      </c>
      <c r="I52" s="7" t="s">
        <v>728</v>
      </c>
      <c r="J52" s="7" t="s">
        <v>71</v>
      </c>
      <c r="K52" s="7" t="s">
        <v>72</v>
      </c>
      <c r="L52" s="7"/>
      <c r="M52" s="7"/>
    </row>
    <row r="53" spans="1:13" ht="15" customHeight="1" x14ac:dyDescent="0.2">
      <c r="A53" s="6" t="s">
        <v>729</v>
      </c>
      <c r="B53" s="6" t="s">
        <v>730</v>
      </c>
      <c r="C53" s="6"/>
      <c r="D53" s="6"/>
      <c r="E53" s="6"/>
      <c r="F53" s="6"/>
      <c r="G53" s="6"/>
      <c r="H53" s="6"/>
      <c r="I53" s="6"/>
      <c r="J53" s="6"/>
      <c r="K53" s="6"/>
      <c r="L53" s="6"/>
      <c r="M53" s="6"/>
    </row>
    <row r="54" spans="1:13" ht="34.5" customHeight="1" x14ac:dyDescent="0.2">
      <c r="A54" s="7" t="s">
        <v>731</v>
      </c>
      <c r="B54" s="7" t="s">
        <v>730</v>
      </c>
      <c r="C54" s="7" t="s">
        <v>732</v>
      </c>
      <c r="D54" s="7" t="s">
        <v>733</v>
      </c>
      <c r="E54" s="8"/>
      <c r="F54" s="8"/>
      <c r="G54" s="8"/>
      <c r="H54" s="7" t="s">
        <v>552</v>
      </c>
      <c r="I54" s="7" t="s">
        <v>734</v>
      </c>
      <c r="J54" s="7" t="s">
        <v>71</v>
      </c>
      <c r="K54" s="7" t="s">
        <v>72</v>
      </c>
      <c r="L54" s="7"/>
      <c r="M54" s="7"/>
    </row>
    <row r="55" spans="1:13" ht="45.75" customHeight="1" x14ac:dyDescent="0.2">
      <c r="A55" s="7" t="s">
        <v>735</v>
      </c>
      <c r="B55" s="7" t="s">
        <v>736</v>
      </c>
      <c r="C55" s="7" t="s">
        <v>737</v>
      </c>
      <c r="D55" s="7" t="s">
        <v>738</v>
      </c>
      <c r="E55" s="8"/>
      <c r="F55" s="8"/>
      <c r="G55" s="8"/>
      <c r="H55" s="7" t="s">
        <v>552</v>
      </c>
      <c r="I55" s="7" t="s">
        <v>739</v>
      </c>
      <c r="J55" s="7" t="s">
        <v>71</v>
      </c>
      <c r="K55" s="7" t="s">
        <v>72</v>
      </c>
      <c r="L55" s="7"/>
      <c r="M55" s="7"/>
    </row>
    <row r="56" spans="1:13" ht="45.75" customHeight="1" x14ac:dyDescent="0.2">
      <c r="A56" s="7" t="s">
        <v>740</v>
      </c>
      <c r="B56" s="7" t="s">
        <v>741</v>
      </c>
      <c r="C56" s="7" t="s">
        <v>742</v>
      </c>
      <c r="D56" s="7" t="s">
        <v>743</v>
      </c>
      <c r="E56" s="8"/>
      <c r="F56" s="8"/>
      <c r="G56" s="8"/>
      <c r="H56" s="7" t="s">
        <v>552</v>
      </c>
      <c r="I56" s="7" t="s">
        <v>744</v>
      </c>
      <c r="J56" s="7" t="s">
        <v>71</v>
      </c>
      <c r="K56" s="7" t="s">
        <v>72</v>
      </c>
      <c r="L56" s="7"/>
      <c r="M56" s="7"/>
    </row>
  </sheetData>
  <autoFilter ref="A13:M56" xr:uid="{00000000-0009-0000-0000-000005000000}"/>
  <conditionalFormatting sqref="K14:K56">
    <cfRule type="cellIs" dxfId="54" priority="2" operator="equal">
      <formula>"Implemented"</formula>
    </cfRule>
    <cfRule type="cellIs" dxfId="53" priority="3" operator="equal">
      <formula>"Verified"</formula>
    </cfRule>
    <cfRule type="cellIs" dxfId="52" priority="4" operator="equal">
      <formula>"In progress"</formula>
    </cfRule>
  </conditionalFormatting>
  <dataValidations count="2">
    <dataValidation type="list" allowBlank="1" sqref="J14:J56" xr:uid="{00000000-0002-0000-0500-000000000000}">
      <formula1>"Yes,No"</formula1>
      <formula2>0</formula2>
    </dataValidation>
    <dataValidation type="list" allowBlank="1" sqref="K14:K56" xr:uid="{00000000-0002-0000-0500-000001000000}">
      <formula1>"Not started,In progress,Implemented,Verified,Not applicable"</formula1>
      <formula2>0</formula2>
    </dataValidation>
  </dataValidation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20"/>
  <sheetViews>
    <sheetView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5" x14ac:dyDescent="0.2"/>
  <cols>
    <col min="1" max="1" width="9" customWidth="1"/>
    <col min="2" max="2" width="42" customWidth="1"/>
    <col min="3" max="3" width="66" customWidth="1"/>
    <col min="4" max="6" width="5" customWidth="1"/>
    <col min="7" max="7" width="52" customWidth="1"/>
    <col min="8" max="8" width="40" customWidth="1"/>
    <col min="9" max="9" width="12" customWidth="1"/>
    <col min="10" max="11" width="14" customWidth="1"/>
    <col min="12" max="12" width="26" customWidth="1"/>
  </cols>
  <sheetData>
    <row r="1" spans="1:12" ht="17.25" customHeight="1" x14ac:dyDescent="0.2">
      <c r="A1" s="3" t="s">
        <v>745</v>
      </c>
    </row>
    <row r="3" spans="1:12" ht="15" customHeight="1" x14ac:dyDescent="0.2">
      <c r="A3" s="21" t="s">
        <v>48</v>
      </c>
      <c r="B3" s="21" t="s">
        <v>50</v>
      </c>
      <c r="C3" s="21" t="s">
        <v>173</v>
      </c>
      <c r="D3" s="21" t="s">
        <v>52</v>
      </c>
      <c r="E3" s="21" t="s">
        <v>53</v>
      </c>
      <c r="F3" s="21" t="s">
        <v>54</v>
      </c>
      <c r="G3" s="21" t="s">
        <v>544</v>
      </c>
      <c r="H3" s="21" t="s">
        <v>57</v>
      </c>
      <c r="I3" s="21" t="s">
        <v>545</v>
      </c>
      <c r="J3" s="21" t="s">
        <v>59</v>
      </c>
      <c r="K3" s="21" t="s">
        <v>60</v>
      </c>
      <c r="L3" s="21" t="s">
        <v>61</v>
      </c>
    </row>
    <row r="4" spans="1:12" ht="15" customHeight="1" x14ac:dyDescent="0.2">
      <c r="A4" s="6" t="s">
        <v>746</v>
      </c>
      <c r="B4" s="6" t="s">
        <v>747</v>
      </c>
      <c r="C4" s="6"/>
      <c r="D4" s="6"/>
      <c r="E4" s="6"/>
      <c r="F4" s="6"/>
      <c r="G4" s="6"/>
      <c r="H4" s="6"/>
      <c r="I4" s="6"/>
      <c r="J4" s="6"/>
      <c r="K4" s="6"/>
      <c r="L4" s="6"/>
    </row>
    <row r="5" spans="1:12" ht="45.75" customHeight="1" x14ac:dyDescent="0.2">
      <c r="A5" s="7" t="s">
        <v>748</v>
      </c>
      <c r="B5" s="7" t="s">
        <v>749</v>
      </c>
      <c r="C5" s="7" t="s">
        <v>750</v>
      </c>
      <c r="D5" s="8"/>
      <c r="E5" s="8"/>
      <c r="F5" s="8"/>
      <c r="G5" s="7" t="s">
        <v>751</v>
      </c>
      <c r="H5" s="7" t="s">
        <v>752</v>
      </c>
      <c r="I5" s="7" t="s">
        <v>71</v>
      </c>
      <c r="J5" s="7" t="s">
        <v>72</v>
      </c>
      <c r="K5" s="7"/>
      <c r="L5" s="7"/>
    </row>
    <row r="6" spans="1:12" ht="45.75" customHeight="1" x14ac:dyDescent="0.2">
      <c r="A6" s="7" t="s">
        <v>753</v>
      </c>
      <c r="B6" s="7" t="s">
        <v>754</v>
      </c>
      <c r="C6" s="7" t="s">
        <v>755</v>
      </c>
      <c r="D6" s="8" t="s">
        <v>67</v>
      </c>
      <c r="E6" s="8"/>
      <c r="F6" s="8"/>
      <c r="G6" s="7" t="s">
        <v>756</v>
      </c>
      <c r="H6" s="7" t="s">
        <v>757</v>
      </c>
      <c r="I6" s="7" t="s">
        <v>71</v>
      </c>
      <c r="J6" s="7" t="s">
        <v>72</v>
      </c>
      <c r="K6" s="7"/>
      <c r="L6" s="7"/>
    </row>
    <row r="7" spans="1:12" ht="45.75" customHeight="1" x14ac:dyDescent="0.2">
      <c r="A7" s="7" t="s">
        <v>758</v>
      </c>
      <c r="B7" s="7" t="s">
        <v>759</v>
      </c>
      <c r="C7" s="7" t="s">
        <v>760</v>
      </c>
      <c r="D7" s="8"/>
      <c r="E7" s="8"/>
      <c r="F7" s="8"/>
      <c r="G7" s="7" t="s">
        <v>751</v>
      </c>
      <c r="H7" s="7" t="s">
        <v>761</v>
      </c>
      <c r="I7" s="7" t="s">
        <v>71</v>
      </c>
      <c r="J7" s="7" t="s">
        <v>72</v>
      </c>
      <c r="K7" s="7"/>
      <c r="L7" s="7"/>
    </row>
    <row r="8" spans="1:12" ht="57" customHeight="1" x14ac:dyDescent="0.2">
      <c r="A8" s="7" t="s">
        <v>762</v>
      </c>
      <c r="B8" s="7" t="s">
        <v>763</v>
      </c>
      <c r="C8" s="7" t="s">
        <v>764</v>
      </c>
      <c r="D8" s="8" t="s">
        <v>67</v>
      </c>
      <c r="E8" s="8" t="s">
        <v>67</v>
      </c>
      <c r="F8" s="8" t="s">
        <v>67</v>
      </c>
      <c r="G8" s="7" t="s">
        <v>765</v>
      </c>
      <c r="H8" s="7" t="s">
        <v>766</v>
      </c>
      <c r="I8" s="7" t="s">
        <v>71</v>
      </c>
      <c r="J8" s="7" t="s">
        <v>72</v>
      </c>
      <c r="K8" s="7"/>
      <c r="L8" s="7"/>
    </row>
    <row r="9" spans="1:12" ht="57" customHeight="1" x14ac:dyDescent="0.2">
      <c r="A9" s="7" t="s">
        <v>767</v>
      </c>
      <c r="B9" s="7" t="s">
        <v>768</v>
      </c>
      <c r="C9" s="7" t="s">
        <v>769</v>
      </c>
      <c r="D9" s="8"/>
      <c r="E9" s="8" t="s">
        <v>67</v>
      </c>
      <c r="F9" s="8" t="s">
        <v>67</v>
      </c>
      <c r="G9" s="7" t="s">
        <v>770</v>
      </c>
      <c r="H9" s="7" t="s">
        <v>771</v>
      </c>
      <c r="I9" s="7" t="s">
        <v>71</v>
      </c>
      <c r="J9" s="7" t="s">
        <v>72</v>
      </c>
      <c r="K9" s="7"/>
      <c r="L9" s="7"/>
    </row>
    <row r="10" spans="1:12" ht="15" customHeight="1" x14ac:dyDescent="0.2">
      <c r="A10" s="6" t="s">
        <v>772</v>
      </c>
      <c r="B10" s="6" t="s">
        <v>773</v>
      </c>
      <c r="C10" s="6"/>
      <c r="D10" s="6"/>
      <c r="E10" s="6"/>
      <c r="F10" s="6"/>
      <c r="G10" s="6"/>
      <c r="H10" s="6"/>
      <c r="I10" s="6"/>
      <c r="J10" s="6"/>
      <c r="K10" s="6"/>
      <c r="L10" s="6"/>
    </row>
    <row r="11" spans="1:12" ht="23.25" customHeight="1" x14ac:dyDescent="0.2">
      <c r="A11" s="7" t="s">
        <v>774</v>
      </c>
      <c r="B11" s="7" t="s">
        <v>775</v>
      </c>
      <c r="C11" s="7" t="s">
        <v>776</v>
      </c>
      <c r="D11" s="8"/>
      <c r="E11" s="8"/>
      <c r="F11" s="8"/>
      <c r="G11" s="7" t="s">
        <v>751</v>
      </c>
      <c r="H11" s="7" t="s">
        <v>777</v>
      </c>
      <c r="I11" s="7" t="s">
        <v>71</v>
      </c>
      <c r="J11" s="7" t="s">
        <v>72</v>
      </c>
      <c r="K11" s="7"/>
      <c r="L11" s="7"/>
    </row>
    <row r="12" spans="1:12" ht="34.5" customHeight="1" x14ac:dyDescent="0.2">
      <c r="A12" s="7" t="s">
        <v>778</v>
      </c>
      <c r="B12" s="7" t="s">
        <v>779</v>
      </c>
      <c r="C12" s="7" t="s">
        <v>780</v>
      </c>
      <c r="D12" s="8"/>
      <c r="E12" s="8"/>
      <c r="F12" s="8"/>
      <c r="G12" s="7" t="s">
        <v>751</v>
      </c>
      <c r="H12" s="7" t="s">
        <v>781</v>
      </c>
      <c r="I12" s="7" t="s">
        <v>71</v>
      </c>
      <c r="J12" s="7" t="s">
        <v>72</v>
      </c>
      <c r="K12" s="7"/>
      <c r="L12" s="7"/>
    </row>
    <row r="13" spans="1:12" ht="34.5" customHeight="1" x14ac:dyDescent="0.2">
      <c r="A13" s="7" t="s">
        <v>782</v>
      </c>
      <c r="B13" s="7" t="s">
        <v>783</v>
      </c>
      <c r="C13" s="7" t="s">
        <v>784</v>
      </c>
      <c r="D13" s="8"/>
      <c r="E13" s="8"/>
      <c r="F13" s="8"/>
      <c r="G13" s="7" t="s">
        <v>751</v>
      </c>
      <c r="H13" s="7" t="s">
        <v>785</v>
      </c>
      <c r="I13" s="7" t="s">
        <v>71</v>
      </c>
      <c r="J13" s="7" t="s">
        <v>72</v>
      </c>
      <c r="K13" s="7"/>
      <c r="L13" s="7"/>
    </row>
    <row r="14" spans="1:12" ht="23.25" customHeight="1" x14ac:dyDescent="0.2">
      <c r="A14" s="7" t="s">
        <v>786</v>
      </c>
      <c r="B14" s="7" t="s">
        <v>787</v>
      </c>
      <c r="C14" s="7" t="s">
        <v>788</v>
      </c>
      <c r="D14" s="8"/>
      <c r="E14" s="8"/>
      <c r="F14" s="8"/>
      <c r="G14" s="7" t="s">
        <v>751</v>
      </c>
      <c r="H14" s="7" t="s">
        <v>789</v>
      </c>
      <c r="I14" s="7" t="s">
        <v>71</v>
      </c>
      <c r="J14" s="7" t="s">
        <v>72</v>
      </c>
      <c r="K14" s="7"/>
      <c r="L14" s="7"/>
    </row>
    <row r="15" spans="1:12" ht="34.5" customHeight="1" x14ac:dyDescent="0.2">
      <c r="A15" s="7" t="s">
        <v>790</v>
      </c>
      <c r="B15" s="7" t="s">
        <v>791</v>
      </c>
      <c r="C15" s="7" t="s">
        <v>792</v>
      </c>
      <c r="D15" s="8"/>
      <c r="E15" s="8"/>
      <c r="F15" s="8"/>
      <c r="G15" s="7" t="s">
        <v>751</v>
      </c>
      <c r="H15" s="7" t="s">
        <v>793</v>
      </c>
      <c r="I15" s="7" t="s">
        <v>71</v>
      </c>
      <c r="J15" s="7" t="s">
        <v>72</v>
      </c>
      <c r="K15" s="7"/>
      <c r="L15" s="7"/>
    </row>
    <row r="16" spans="1:12" ht="15" customHeight="1" x14ac:dyDescent="0.2">
      <c r="A16" s="6" t="s">
        <v>794</v>
      </c>
      <c r="B16" s="6" t="s">
        <v>795</v>
      </c>
      <c r="C16" s="6"/>
      <c r="D16" s="6"/>
      <c r="E16" s="6"/>
      <c r="F16" s="6"/>
      <c r="G16" s="6"/>
      <c r="H16" s="6"/>
      <c r="I16" s="6"/>
      <c r="J16" s="6"/>
      <c r="K16" s="6"/>
      <c r="L16" s="6"/>
    </row>
    <row r="17" spans="1:12" ht="34.5" customHeight="1" x14ac:dyDescent="0.2">
      <c r="A17" s="7" t="s">
        <v>796</v>
      </c>
      <c r="B17" s="7" t="s">
        <v>797</v>
      </c>
      <c r="C17" s="7" t="s">
        <v>798</v>
      </c>
      <c r="D17" s="8"/>
      <c r="E17" s="8"/>
      <c r="F17" s="8"/>
      <c r="G17" s="7" t="s">
        <v>751</v>
      </c>
      <c r="H17" s="7" t="s">
        <v>799</v>
      </c>
      <c r="I17" s="7" t="s">
        <v>71</v>
      </c>
      <c r="J17" s="7" t="s">
        <v>72</v>
      </c>
      <c r="K17" s="7"/>
      <c r="L17" s="7"/>
    </row>
    <row r="18" spans="1:12" ht="23.25" customHeight="1" x14ac:dyDescent="0.2">
      <c r="A18" s="7" t="s">
        <v>800</v>
      </c>
      <c r="B18" s="7" t="s">
        <v>801</v>
      </c>
      <c r="C18" s="7" t="s">
        <v>802</v>
      </c>
      <c r="D18" s="8"/>
      <c r="E18" s="8"/>
      <c r="F18" s="8"/>
      <c r="G18" s="7" t="s">
        <v>751</v>
      </c>
      <c r="H18" s="7" t="s">
        <v>803</v>
      </c>
      <c r="I18" s="7" t="s">
        <v>71</v>
      </c>
      <c r="J18" s="7" t="s">
        <v>72</v>
      </c>
      <c r="K18" s="7"/>
      <c r="L18" s="7"/>
    </row>
    <row r="19" spans="1:12" ht="23.25" customHeight="1" x14ac:dyDescent="0.2">
      <c r="A19" s="7" t="s">
        <v>804</v>
      </c>
      <c r="B19" s="7" t="s">
        <v>805</v>
      </c>
      <c r="C19" s="7" t="s">
        <v>806</v>
      </c>
      <c r="D19" s="8"/>
      <c r="E19" s="8"/>
      <c r="F19" s="8"/>
      <c r="G19" s="7" t="s">
        <v>751</v>
      </c>
      <c r="H19" s="7" t="s">
        <v>807</v>
      </c>
      <c r="I19" s="7" t="s">
        <v>71</v>
      </c>
      <c r="J19" s="7" t="s">
        <v>72</v>
      </c>
      <c r="K19" s="7"/>
      <c r="L19" s="7"/>
    </row>
    <row r="20" spans="1:12" ht="23.25" customHeight="1" x14ac:dyDescent="0.2">
      <c r="A20" s="7" t="s">
        <v>808</v>
      </c>
      <c r="B20" s="7" t="s">
        <v>809</v>
      </c>
      <c r="C20" s="7" t="s">
        <v>810</v>
      </c>
      <c r="D20" s="8"/>
      <c r="E20" s="8"/>
      <c r="F20" s="8"/>
      <c r="G20" s="7" t="s">
        <v>751</v>
      </c>
      <c r="H20" s="7" t="s">
        <v>811</v>
      </c>
      <c r="I20" s="7" t="s">
        <v>71</v>
      </c>
      <c r="J20" s="7" t="s">
        <v>72</v>
      </c>
      <c r="K20" s="7"/>
      <c r="L20" s="7"/>
    </row>
  </sheetData>
  <autoFilter ref="A3:L20" xr:uid="{00000000-0009-0000-0000-000006000000}"/>
  <conditionalFormatting sqref="J4:J20">
    <cfRule type="cellIs" dxfId="51" priority="2" operator="equal">
      <formula>"Implemented"</formula>
    </cfRule>
    <cfRule type="cellIs" dxfId="50" priority="3" operator="equal">
      <formula>"Verified"</formula>
    </cfRule>
    <cfRule type="cellIs" dxfId="49" priority="4" operator="equal">
      <formula>"In progress"</formula>
    </cfRule>
  </conditionalFormatting>
  <dataValidations count="2">
    <dataValidation type="list" allowBlank="1" sqref="I4:I20" xr:uid="{00000000-0002-0000-0600-000000000000}">
      <formula1>"Yes,No"</formula1>
      <formula2>0</formula2>
    </dataValidation>
    <dataValidation type="list" allowBlank="1" sqref="J4:J20" xr:uid="{00000000-0002-0000-0600-000001000000}">
      <formula1>"Not started,In progress,Implemented,Verified,Not applicable"</formula1>
      <formula2>0</formula2>
    </dataValidation>
  </dataValidation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26"/>
  <sheetViews>
    <sheetView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5" x14ac:dyDescent="0.2"/>
  <cols>
    <col min="1" max="1" width="11" customWidth="1"/>
    <col min="2" max="2" width="50" customWidth="1"/>
    <col min="3" max="3" width="58" customWidth="1"/>
    <col min="4" max="6" width="5" customWidth="1"/>
    <col min="7" max="7" width="52" customWidth="1"/>
    <col min="8" max="8" width="40" customWidth="1"/>
    <col min="9" max="9" width="12" customWidth="1"/>
    <col min="10" max="11" width="14" customWidth="1"/>
    <col min="12" max="12" width="26" customWidth="1"/>
  </cols>
  <sheetData>
    <row r="1" spans="1:12" ht="17.25" customHeight="1" x14ac:dyDescent="0.2">
      <c r="A1" s="3" t="s">
        <v>812</v>
      </c>
    </row>
    <row r="3" spans="1:12" ht="15" customHeight="1" x14ac:dyDescent="0.2">
      <c r="A3" s="22" t="s">
        <v>48</v>
      </c>
      <c r="B3" s="22" t="s">
        <v>813</v>
      </c>
      <c r="C3" s="22" t="s">
        <v>814</v>
      </c>
      <c r="D3" s="22" t="s">
        <v>52</v>
      </c>
      <c r="E3" s="22" t="s">
        <v>53</v>
      </c>
      <c r="F3" s="22" t="s">
        <v>54</v>
      </c>
      <c r="G3" s="22" t="s">
        <v>544</v>
      </c>
      <c r="H3" s="22" t="s">
        <v>57</v>
      </c>
      <c r="I3" s="22" t="s">
        <v>545</v>
      </c>
      <c r="J3" s="22" t="s">
        <v>59</v>
      </c>
      <c r="K3" s="22" t="s">
        <v>60</v>
      </c>
      <c r="L3" s="22" t="s">
        <v>61</v>
      </c>
    </row>
    <row r="4" spans="1:12" ht="15" customHeight="1" x14ac:dyDescent="0.2">
      <c r="A4" s="6" t="s">
        <v>815</v>
      </c>
      <c r="B4" s="6" t="s">
        <v>816</v>
      </c>
      <c r="C4" s="6"/>
      <c r="D4" s="6"/>
      <c r="E4" s="6"/>
      <c r="F4" s="6"/>
      <c r="G4" s="6"/>
      <c r="H4" s="6"/>
      <c r="I4" s="6"/>
      <c r="J4" s="6"/>
      <c r="K4" s="6"/>
      <c r="L4" s="6"/>
    </row>
    <row r="5" spans="1:12" ht="45.75" customHeight="1" x14ac:dyDescent="0.2">
      <c r="A5" s="7" t="s">
        <v>817</v>
      </c>
      <c r="B5" s="7" t="s">
        <v>818</v>
      </c>
      <c r="C5" s="7" t="s">
        <v>819</v>
      </c>
      <c r="D5" s="8"/>
      <c r="E5" s="8"/>
      <c r="F5" s="8"/>
      <c r="G5" s="7" t="s">
        <v>820</v>
      </c>
      <c r="H5" s="7" t="s">
        <v>821</v>
      </c>
      <c r="I5" s="7" t="s">
        <v>71</v>
      </c>
      <c r="J5" s="7" t="s">
        <v>72</v>
      </c>
      <c r="K5" s="7"/>
      <c r="L5" s="7"/>
    </row>
    <row r="6" spans="1:12" ht="34.5" customHeight="1" x14ac:dyDescent="0.2">
      <c r="A6" s="7" t="s">
        <v>822</v>
      </c>
      <c r="B6" s="7" t="s">
        <v>823</v>
      </c>
      <c r="C6" s="7" t="s">
        <v>824</v>
      </c>
      <c r="D6" s="8"/>
      <c r="E6" s="8"/>
      <c r="F6" s="8"/>
      <c r="G6" s="7" t="s">
        <v>820</v>
      </c>
      <c r="H6" s="7" t="s">
        <v>825</v>
      </c>
      <c r="I6" s="7" t="s">
        <v>71</v>
      </c>
      <c r="J6" s="7" t="s">
        <v>72</v>
      </c>
      <c r="K6" s="7"/>
      <c r="L6" s="7"/>
    </row>
    <row r="7" spans="1:12" ht="34.5" customHeight="1" x14ac:dyDescent="0.2">
      <c r="A7" s="7" t="s">
        <v>826</v>
      </c>
      <c r="B7" s="7" t="s">
        <v>827</v>
      </c>
      <c r="C7" s="7" t="s">
        <v>828</v>
      </c>
      <c r="D7" s="8"/>
      <c r="E7" s="8"/>
      <c r="F7" s="8"/>
      <c r="G7" s="7" t="s">
        <v>820</v>
      </c>
      <c r="H7" s="7" t="s">
        <v>829</v>
      </c>
      <c r="I7" s="7" t="s">
        <v>71</v>
      </c>
      <c r="J7" s="7" t="s">
        <v>72</v>
      </c>
      <c r="K7" s="7"/>
      <c r="L7" s="7"/>
    </row>
    <row r="8" spans="1:12" ht="23.25" customHeight="1" x14ac:dyDescent="0.2">
      <c r="A8" s="7" t="s">
        <v>830</v>
      </c>
      <c r="B8" s="7" t="s">
        <v>831</v>
      </c>
      <c r="C8" s="7" t="s">
        <v>832</v>
      </c>
      <c r="D8" s="8"/>
      <c r="E8" s="8"/>
      <c r="F8" s="8"/>
      <c r="G8" s="7" t="s">
        <v>820</v>
      </c>
      <c r="H8" s="7" t="s">
        <v>833</v>
      </c>
      <c r="I8" s="7" t="s">
        <v>71</v>
      </c>
      <c r="J8" s="7" t="s">
        <v>72</v>
      </c>
      <c r="K8" s="7"/>
      <c r="L8" s="7"/>
    </row>
    <row r="9" spans="1:12" ht="23.25" customHeight="1" x14ac:dyDescent="0.2">
      <c r="A9" s="7" t="s">
        <v>834</v>
      </c>
      <c r="B9" s="7" t="s">
        <v>835</v>
      </c>
      <c r="C9" s="7" t="s">
        <v>836</v>
      </c>
      <c r="D9" s="8"/>
      <c r="E9" s="8"/>
      <c r="F9" s="8"/>
      <c r="G9" s="7" t="s">
        <v>820</v>
      </c>
      <c r="H9" s="7" t="s">
        <v>837</v>
      </c>
      <c r="I9" s="7" t="s">
        <v>71</v>
      </c>
      <c r="J9" s="7" t="s">
        <v>72</v>
      </c>
      <c r="K9" s="7"/>
      <c r="L9" s="7"/>
    </row>
    <row r="10" spans="1:12" ht="34.5" customHeight="1" x14ac:dyDescent="0.2">
      <c r="A10" s="7" t="s">
        <v>838</v>
      </c>
      <c r="B10" s="7" t="s">
        <v>839</v>
      </c>
      <c r="C10" s="7" t="s">
        <v>840</v>
      </c>
      <c r="D10" s="8" t="s">
        <v>67</v>
      </c>
      <c r="E10" s="8"/>
      <c r="F10" s="8"/>
      <c r="G10" s="7" t="s">
        <v>841</v>
      </c>
      <c r="H10" s="7" t="s">
        <v>842</v>
      </c>
      <c r="I10" s="7" t="s">
        <v>71</v>
      </c>
      <c r="J10" s="7" t="s">
        <v>72</v>
      </c>
      <c r="K10" s="7"/>
      <c r="L10" s="7"/>
    </row>
    <row r="11" spans="1:12" ht="15" customHeight="1" x14ac:dyDescent="0.2">
      <c r="A11" s="6" t="s">
        <v>843</v>
      </c>
      <c r="B11" s="6" t="s">
        <v>844</v>
      </c>
      <c r="C11" s="6"/>
      <c r="D11" s="6"/>
      <c r="E11" s="6"/>
      <c r="F11" s="6"/>
      <c r="G11" s="6"/>
      <c r="H11" s="6"/>
      <c r="I11" s="6"/>
      <c r="J11" s="6"/>
      <c r="K11" s="6"/>
      <c r="L11" s="6"/>
    </row>
    <row r="12" spans="1:12" ht="34.5" customHeight="1" x14ac:dyDescent="0.2">
      <c r="A12" s="7" t="s">
        <v>845</v>
      </c>
      <c r="B12" s="7" t="s">
        <v>846</v>
      </c>
      <c r="C12" s="7" t="s">
        <v>847</v>
      </c>
      <c r="D12" s="8"/>
      <c r="E12" s="8"/>
      <c r="F12" s="8"/>
      <c r="G12" s="7" t="s">
        <v>820</v>
      </c>
      <c r="H12" s="7" t="s">
        <v>848</v>
      </c>
      <c r="I12" s="7" t="s">
        <v>71</v>
      </c>
      <c r="J12" s="7" t="s">
        <v>72</v>
      </c>
      <c r="K12" s="7"/>
      <c r="L12" s="7"/>
    </row>
    <row r="13" spans="1:12" ht="23.25" customHeight="1" x14ac:dyDescent="0.2">
      <c r="A13" s="7" t="s">
        <v>849</v>
      </c>
      <c r="B13" s="7" t="s">
        <v>850</v>
      </c>
      <c r="C13" s="7" t="s">
        <v>851</v>
      </c>
      <c r="D13" s="8"/>
      <c r="E13" s="8"/>
      <c r="F13" s="8"/>
      <c r="G13" s="7" t="s">
        <v>820</v>
      </c>
      <c r="H13" s="7" t="s">
        <v>852</v>
      </c>
      <c r="I13" s="7" t="s">
        <v>71</v>
      </c>
      <c r="J13" s="7" t="s">
        <v>72</v>
      </c>
      <c r="K13" s="7"/>
      <c r="L13" s="7"/>
    </row>
    <row r="14" spans="1:12" ht="34.5" customHeight="1" x14ac:dyDescent="0.2">
      <c r="A14" s="7" t="s">
        <v>853</v>
      </c>
      <c r="B14" s="7" t="s">
        <v>854</v>
      </c>
      <c r="C14" s="7" t="s">
        <v>855</v>
      </c>
      <c r="D14" s="8"/>
      <c r="E14" s="8"/>
      <c r="F14" s="8"/>
      <c r="G14" s="7" t="s">
        <v>820</v>
      </c>
      <c r="H14" s="7" t="s">
        <v>856</v>
      </c>
      <c r="I14" s="7" t="s">
        <v>71</v>
      </c>
      <c r="J14" s="7" t="s">
        <v>72</v>
      </c>
      <c r="K14" s="7"/>
      <c r="L14" s="7"/>
    </row>
    <row r="15" spans="1:12" ht="34.5" customHeight="1" x14ac:dyDescent="0.2">
      <c r="A15" s="7" t="s">
        <v>857</v>
      </c>
      <c r="B15" s="7" t="s">
        <v>858</v>
      </c>
      <c r="C15" s="7" t="s">
        <v>859</v>
      </c>
      <c r="D15" s="8" t="s">
        <v>67</v>
      </c>
      <c r="E15" s="8" t="s">
        <v>67</v>
      </c>
      <c r="F15" s="8" t="s">
        <v>67</v>
      </c>
      <c r="G15" s="7" t="s">
        <v>860</v>
      </c>
      <c r="H15" s="7" t="s">
        <v>861</v>
      </c>
      <c r="I15" s="7" t="s">
        <v>71</v>
      </c>
      <c r="J15" s="7" t="s">
        <v>72</v>
      </c>
      <c r="K15" s="7"/>
      <c r="L15" s="7"/>
    </row>
    <row r="16" spans="1:12" ht="23.25" customHeight="1" x14ac:dyDescent="0.2">
      <c r="A16" s="7" t="s">
        <v>862</v>
      </c>
      <c r="B16" s="7" t="s">
        <v>863</v>
      </c>
      <c r="C16" s="7" t="s">
        <v>864</v>
      </c>
      <c r="D16" s="8"/>
      <c r="E16" s="8"/>
      <c r="F16" s="8"/>
      <c r="G16" s="7" t="s">
        <v>820</v>
      </c>
      <c r="H16" s="7" t="s">
        <v>865</v>
      </c>
      <c r="I16" s="7" t="s">
        <v>71</v>
      </c>
      <c r="J16" s="7" t="s">
        <v>72</v>
      </c>
      <c r="K16" s="7"/>
      <c r="L16" s="7"/>
    </row>
    <row r="17" spans="1:12" ht="15" customHeight="1" x14ac:dyDescent="0.2">
      <c r="A17" s="6" t="s">
        <v>866</v>
      </c>
      <c r="B17" s="6" t="s">
        <v>867</v>
      </c>
      <c r="C17" s="6"/>
      <c r="D17" s="6"/>
      <c r="E17" s="6"/>
      <c r="F17" s="6"/>
      <c r="G17" s="6"/>
      <c r="H17" s="6"/>
      <c r="I17" s="6"/>
      <c r="J17" s="6"/>
      <c r="K17" s="6"/>
      <c r="L17" s="6"/>
    </row>
    <row r="18" spans="1:12" ht="23.25" customHeight="1" x14ac:dyDescent="0.2">
      <c r="A18" s="7" t="s">
        <v>868</v>
      </c>
      <c r="B18" s="7" t="s">
        <v>869</v>
      </c>
      <c r="C18" s="7" t="s">
        <v>870</v>
      </c>
      <c r="D18" s="8"/>
      <c r="E18" s="8"/>
      <c r="F18" s="8"/>
      <c r="G18" s="7" t="s">
        <v>820</v>
      </c>
      <c r="H18" s="7" t="s">
        <v>871</v>
      </c>
      <c r="I18" s="7" t="s">
        <v>71</v>
      </c>
      <c r="J18" s="7" t="s">
        <v>72</v>
      </c>
      <c r="K18" s="7"/>
      <c r="L18" s="7"/>
    </row>
    <row r="19" spans="1:12" ht="45.75" customHeight="1" x14ac:dyDescent="0.2">
      <c r="A19" s="7" t="s">
        <v>872</v>
      </c>
      <c r="B19" s="7" t="s">
        <v>873</v>
      </c>
      <c r="C19" s="7" t="s">
        <v>874</v>
      </c>
      <c r="D19" s="8" t="s">
        <v>67</v>
      </c>
      <c r="E19" s="8" t="s">
        <v>67</v>
      </c>
      <c r="F19" s="8" t="s">
        <v>67</v>
      </c>
      <c r="G19" s="7" t="s">
        <v>875</v>
      </c>
      <c r="H19" s="7" t="s">
        <v>876</v>
      </c>
      <c r="I19" s="7" t="s">
        <v>71</v>
      </c>
      <c r="J19" s="7" t="s">
        <v>72</v>
      </c>
      <c r="K19" s="7"/>
      <c r="L19" s="7"/>
    </row>
    <row r="20" spans="1:12" ht="23.25" customHeight="1" x14ac:dyDescent="0.2">
      <c r="A20" s="7" t="s">
        <v>877</v>
      </c>
      <c r="B20" s="7" t="s">
        <v>878</v>
      </c>
      <c r="C20" s="7" t="s">
        <v>879</v>
      </c>
      <c r="D20" s="8"/>
      <c r="E20" s="8" t="s">
        <v>67</v>
      </c>
      <c r="F20" s="8" t="s">
        <v>67</v>
      </c>
      <c r="G20" s="7" t="s">
        <v>880</v>
      </c>
      <c r="H20" s="7" t="s">
        <v>881</v>
      </c>
      <c r="I20" s="7" t="s">
        <v>71</v>
      </c>
      <c r="J20" s="7" t="s">
        <v>72</v>
      </c>
      <c r="K20" s="7"/>
      <c r="L20" s="7"/>
    </row>
    <row r="21" spans="1:12" ht="23.25" customHeight="1" x14ac:dyDescent="0.2">
      <c r="A21" s="7" t="s">
        <v>882</v>
      </c>
      <c r="B21" s="7" t="s">
        <v>883</v>
      </c>
      <c r="C21" s="7" t="s">
        <v>884</v>
      </c>
      <c r="D21" s="8"/>
      <c r="E21" s="8"/>
      <c r="F21" s="8"/>
      <c r="G21" s="7" t="s">
        <v>820</v>
      </c>
      <c r="H21" s="7" t="s">
        <v>885</v>
      </c>
      <c r="I21" s="7" t="s">
        <v>71</v>
      </c>
      <c r="J21" s="7" t="s">
        <v>72</v>
      </c>
      <c r="K21" s="7"/>
      <c r="L21" s="7"/>
    </row>
    <row r="22" spans="1:12" ht="15" customHeight="1" x14ac:dyDescent="0.2">
      <c r="A22" s="6" t="s">
        <v>886</v>
      </c>
      <c r="B22" s="6" t="s">
        <v>887</v>
      </c>
      <c r="C22" s="6"/>
      <c r="D22" s="6"/>
      <c r="E22" s="6"/>
      <c r="F22" s="6"/>
      <c r="G22" s="6"/>
      <c r="H22" s="6"/>
      <c r="I22" s="6"/>
      <c r="J22" s="6"/>
      <c r="K22" s="6"/>
      <c r="L22" s="6"/>
    </row>
    <row r="23" spans="1:12" ht="23.25" customHeight="1" x14ac:dyDescent="0.2">
      <c r="A23" s="7" t="s">
        <v>888</v>
      </c>
      <c r="B23" s="7" t="s">
        <v>889</v>
      </c>
      <c r="C23" s="7" t="s">
        <v>890</v>
      </c>
      <c r="D23" s="8"/>
      <c r="E23" s="8"/>
      <c r="F23" s="8"/>
      <c r="G23" s="7" t="s">
        <v>820</v>
      </c>
      <c r="H23" s="7" t="s">
        <v>891</v>
      </c>
      <c r="I23" s="7" t="s">
        <v>71</v>
      </c>
      <c r="J23" s="7" t="s">
        <v>72</v>
      </c>
      <c r="K23" s="7"/>
      <c r="L23" s="7"/>
    </row>
    <row r="24" spans="1:12" ht="34.5" customHeight="1" x14ac:dyDescent="0.2">
      <c r="A24" s="7" t="s">
        <v>892</v>
      </c>
      <c r="B24" s="7" t="s">
        <v>893</v>
      </c>
      <c r="C24" s="7" t="s">
        <v>894</v>
      </c>
      <c r="D24" s="8"/>
      <c r="E24" s="8"/>
      <c r="F24" s="8"/>
      <c r="G24" s="7" t="s">
        <v>820</v>
      </c>
      <c r="H24" s="7" t="s">
        <v>895</v>
      </c>
      <c r="I24" s="7" t="s">
        <v>71</v>
      </c>
      <c r="J24" s="7" t="s">
        <v>72</v>
      </c>
      <c r="K24" s="7"/>
      <c r="L24" s="7"/>
    </row>
    <row r="25" spans="1:12" ht="23.25" customHeight="1" x14ac:dyDescent="0.2">
      <c r="A25" s="7" t="s">
        <v>896</v>
      </c>
      <c r="B25" s="7" t="s">
        <v>897</v>
      </c>
      <c r="C25" s="7" t="s">
        <v>898</v>
      </c>
      <c r="D25" s="8" t="s">
        <v>67</v>
      </c>
      <c r="E25" s="8"/>
      <c r="F25" s="8"/>
      <c r="G25" s="7" t="s">
        <v>899</v>
      </c>
      <c r="H25" s="7" t="s">
        <v>900</v>
      </c>
      <c r="I25" s="7" t="s">
        <v>71</v>
      </c>
      <c r="J25" s="7" t="s">
        <v>72</v>
      </c>
      <c r="K25" s="7"/>
      <c r="L25" s="7"/>
    </row>
    <row r="26" spans="1:12" ht="34.5" customHeight="1" x14ac:dyDescent="0.2">
      <c r="A26" s="7" t="s">
        <v>901</v>
      </c>
      <c r="B26" s="7" t="s">
        <v>902</v>
      </c>
      <c r="C26" s="7" t="s">
        <v>903</v>
      </c>
      <c r="D26" s="8" t="s">
        <v>67</v>
      </c>
      <c r="E26" s="8" t="s">
        <v>67</v>
      </c>
      <c r="F26" s="8" t="s">
        <v>67</v>
      </c>
      <c r="G26" s="7" t="s">
        <v>904</v>
      </c>
      <c r="H26" s="7" t="s">
        <v>905</v>
      </c>
      <c r="I26" s="7" t="s">
        <v>71</v>
      </c>
      <c r="J26" s="7" t="s">
        <v>72</v>
      </c>
      <c r="K26" s="7"/>
      <c r="L26" s="7"/>
    </row>
  </sheetData>
  <autoFilter ref="A3:L26" xr:uid="{00000000-0009-0000-0000-000007000000}"/>
  <conditionalFormatting sqref="J4:J26">
    <cfRule type="cellIs" dxfId="48" priority="2" operator="equal">
      <formula>"Implemented"</formula>
    </cfRule>
    <cfRule type="cellIs" dxfId="47" priority="3" operator="equal">
      <formula>"Verified"</formula>
    </cfRule>
    <cfRule type="cellIs" dxfId="46" priority="4" operator="equal">
      <formula>"In progress"</formula>
    </cfRule>
  </conditionalFormatting>
  <dataValidations count="2">
    <dataValidation type="list" allowBlank="1" sqref="I4:I26" xr:uid="{00000000-0002-0000-0700-000000000000}">
      <formula1>"Yes,No"</formula1>
      <formula2>0</formula2>
    </dataValidation>
    <dataValidation type="list" allowBlank="1" sqref="J4:J26" xr:uid="{00000000-0002-0000-0700-000001000000}">
      <formula1>"Not started,In progress,Implemented,Verified,Not applicable"</formula1>
      <formula2>0</formula2>
    </dataValidation>
  </dataValidation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28"/>
  <sheetViews>
    <sheetView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5" x14ac:dyDescent="0.2"/>
  <cols>
    <col min="1" max="1" width="10" customWidth="1"/>
    <col min="2" max="2" width="42" customWidth="1"/>
    <col min="3" max="3" width="66" customWidth="1"/>
    <col min="4" max="6" width="5" customWidth="1"/>
    <col min="7" max="7" width="52" customWidth="1"/>
    <col min="8" max="8" width="38" customWidth="1"/>
    <col min="9" max="9" width="12" customWidth="1"/>
    <col min="10" max="11" width="14" customWidth="1"/>
    <col min="12" max="12" width="26" customWidth="1"/>
  </cols>
  <sheetData>
    <row r="1" spans="1:12" ht="17.25" customHeight="1" x14ac:dyDescent="0.2">
      <c r="A1" s="3" t="s">
        <v>906</v>
      </c>
    </row>
    <row r="3" spans="1:12" ht="15" customHeight="1" x14ac:dyDescent="0.2">
      <c r="A3" s="17" t="s">
        <v>48</v>
      </c>
      <c r="B3" s="17" t="s">
        <v>50</v>
      </c>
      <c r="C3" s="17" t="s">
        <v>907</v>
      </c>
      <c r="D3" s="17" t="s">
        <v>52</v>
      </c>
      <c r="E3" s="17" t="s">
        <v>53</v>
      </c>
      <c r="F3" s="17" t="s">
        <v>54</v>
      </c>
      <c r="G3" s="17" t="s">
        <v>544</v>
      </c>
      <c r="H3" s="17" t="s">
        <v>57</v>
      </c>
      <c r="I3" s="17" t="s">
        <v>545</v>
      </c>
      <c r="J3" s="17" t="s">
        <v>59</v>
      </c>
      <c r="K3" s="17" t="s">
        <v>60</v>
      </c>
      <c r="L3" s="17" t="s">
        <v>61</v>
      </c>
    </row>
    <row r="4" spans="1:12" ht="15" customHeight="1" x14ac:dyDescent="0.2">
      <c r="A4" s="6" t="s">
        <v>908</v>
      </c>
      <c r="B4" s="6" t="s">
        <v>909</v>
      </c>
      <c r="C4" s="6"/>
      <c r="D4" s="6"/>
      <c r="E4" s="6"/>
      <c r="F4" s="6"/>
      <c r="G4" s="6"/>
      <c r="H4" s="6"/>
      <c r="I4" s="6"/>
      <c r="J4" s="6"/>
      <c r="K4" s="6"/>
      <c r="L4" s="6"/>
    </row>
    <row r="5" spans="1:12" ht="45.75" customHeight="1" x14ac:dyDescent="0.2">
      <c r="A5" s="7" t="s">
        <v>910</v>
      </c>
      <c r="B5" s="7" t="s">
        <v>911</v>
      </c>
      <c r="C5" s="7" t="s">
        <v>912</v>
      </c>
      <c r="D5" s="8"/>
      <c r="E5" s="8"/>
      <c r="F5" s="8"/>
      <c r="G5" s="7" t="s">
        <v>913</v>
      </c>
      <c r="H5" s="7" t="s">
        <v>914</v>
      </c>
      <c r="I5" s="7" t="s">
        <v>71</v>
      </c>
      <c r="J5" s="7" t="s">
        <v>72</v>
      </c>
      <c r="K5" s="7"/>
      <c r="L5" s="7"/>
    </row>
    <row r="6" spans="1:12" ht="15" customHeight="1" x14ac:dyDescent="0.2">
      <c r="A6" s="6" t="s">
        <v>915</v>
      </c>
      <c r="B6" s="6" t="s">
        <v>916</v>
      </c>
      <c r="C6" s="6"/>
      <c r="D6" s="6"/>
      <c r="E6" s="6"/>
      <c r="F6" s="6"/>
      <c r="G6" s="6"/>
      <c r="H6" s="6"/>
      <c r="I6" s="6"/>
      <c r="J6" s="6"/>
      <c r="K6" s="6"/>
      <c r="L6" s="6"/>
    </row>
    <row r="7" spans="1:12" ht="34.5" customHeight="1" x14ac:dyDescent="0.2">
      <c r="A7" s="7" t="s">
        <v>197</v>
      </c>
      <c r="B7" s="7" t="s">
        <v>917</v>
      </c>
      <c r="C7" s="7" t="s">
        <v>918</v>
      </c>
      <c r="D7" s="8"/>
      <c r="E7" s="8"/>
      <c r="F7" s="8"/>
      <c r="G7" s="7" t="s">
        <v>913</v>
      </c>
      <c r="H7" s="7" t="s">
        <v>919</v>
      </c>
      <c r="I7" s="7" t="s">
        <v>71</v>
      </c>
      <c r="J7" s="7" t="s">
        <v>72</v>
      </c>
      <c r="K7" s="7"/>
      <c r="L7" s="7"/>
    </row>
    <row r="8" spans="1:12" ht="23.25" customHeight="1" x14ac:dyDescent="0.2">
      <c r="A8" s="7" t="s">
        <v>203</v>
      </c>
      <c r="B8" s="7" t="s">
        <v>920</v>
      </c>
      <c r="C8" s="7" t="s">
        <v>921</v>
      </c>
      <c r="D8" s="8"/>
      <c r="E8" s="8"/>
      <c r="F8" s="8"/>
      <c r="G8" s="7" t="s">
        <v>913</v>
      </c>
      <c r="H8" s="7" t="s">
        <v>922</v>
      </c>
      <c r="I8" s="7" t="s">
        <v>71</v>
      </c>
      <c r="J8" s="7" t="s">
        <v>72</v>
      </c>
      <c r="K8" s="7"/>
      <c r="L8" s="7"/>
    </row>
    <row r="9" spans="1:12" ht="34.5" customHeight="1" x14ac:dyDescent="0.2">
      <c r="A9" s="7" t="s">
        <v>208</v>
      </c>
      <c r="B9" s="7" t="s">
        <v>923</v>
      </c>
      <c r="C9" s="7" t="s">
        <v>924</v>
      </c>
      <c r="D9" s="8"/>
      <c r="E9" s="8"/>
      <c r="F9" s="8"/>
      <c r="G9" s="7" t="s">
        <v>913</v>
      </c>
      <c r="H9" s="7" t="s">
        <v>925</v>
      </c>
      <c r="I9" s="7" t="s">
        <v>71</v>
      </c>
      <c r="J9" s="7" t="s">
        <v>72</v>
      </c>
      <c r="K9" s="7"/>
      <c r="L9" s="7"/>
    </row>
    <row r="10" spans="1:12" ht="23.25" customHeight="1" x14ac:dyDescent="0.2">
      <c r="A10" s="7" t="s">
        <v>926</v>
      </c>
      <c r="B10" s="7" t="s">
        <v>927</v>
      </c>
      <c r="C10" s="7" t="s">
        <v>928</v>
      </c>
      <c r="D10" s="8"/>
      <c r="E10" s="8"/>
      <c r="F10" s="8"/>
      <c r="G10" s="7" t="s">
        <v>913</v>
      </c>
      <c r="H10" s="7" t="s">
        <v>929</v>
      </c>
      <c r="I10" s="7" t="s">
        <v>71</v>
      </c>
      <c r="J10" s="7" t="s">
        <v>72</v>
      </c>
      <c r="K10" s="7"/>
      <c r="L10" s="7"/>
    </row>
    <row r="11" spans="1:12" ht="23.25" customHeight="1" x14ac:dyDescent="0.2">
      <c r="A11" s="7" t="s">
        <v>930</v>
      </c>
      <c r="B11" s="7" t="s">
        <v>931</v>
      </c>
      <c r="C11" s="7" t="s">
        <v>932</v>
      </c>
      <c r="D11" s="8"/>
      <c r="E11" s="8"/>
      <c r="F11" s="8"/>
      <c r="G11" s="7" t="s">
        <v>913</v>
      </c>
      <c r="H11" s="7" t="s">
        <v>933</v>
      </c>
      <c r="I11" s="7" t="s">
        <v>71</v>
      </c>
      <c r="J11" s="7" t="s">
        <v>72</v>
      </c>
      <c r="K11" s="7"/>
      <c r="L11" s="7"/>
    </row>
    <row r="12" spans="1:12" ht="23.25" customHeight="1" x14ac:dyDescent="0.2">
      <c r="A12" s="7" t="s">
        <v>934</v>
      </c>
      <c r="B12" s="7" t="s">
        <v>935</v>
      </c>
      <c r="C12" s="7" t="s">
        <v>936</v>
      </c>
      <c r="D12" s="8"/>
      <c r="E12" s="8"/>
      <c r="F12" s="8"/>
      <c r="G12" s="7" t="s">
        <v>913</v>
      </c>
      <c r="H12" s="7" t="s">
        <v>937</v>
      </c>
      <c r="I12" s="7" t="s">
        <v>71</v>
      </c>
      <c r="J12" s="7" t="s">
        <v>72</v>
      </c>
      <c r="K12" s="7"/>
      <c r="L12" s="7"/>
    </row>
    <row r="13" spans="1:12" ht="34.5" customHeight="1" x14ac:dyDescent="0.2">
      <c r="A13" s="7" t="s">
        <v>938</v>
      </c>
      <c r="B13" s="7" t="s">
        <v>939</v>
      </c>
      <c r="C13" s="7" t="s">
        <v>940</v>
      </c>
      <c r="D13" s="8" t="s">
        <v>67</v>
      </c>
      <c r="E13" s="8"/>
      <c r="F13" s="8"/>
      <c r="G13" s="7" t="s">
        <v>941</v>
      </c>
      <c r="H13" s="7" t="s">
        <v>942</v>
      </c>
      <c r="I13" s="7" t="s">
        <v>71</v>
      </c>
      <c r="J13" s="7" t="s">
        <v>72</v>
      </c>
      <c r="K13" s="7"/>
      <c r="L13" s="7"/>
    </row>
    <row r="14" spans="1:12" ht="23.25" customHeight="1" x14ac:dyDescent="0.2">
      <c r="A14" s="7" t="s">
        <v>943</v>
      </c>
      <c r="B14" s="7" t="s">
        <v>944</v>
      </c>
      <c r="C14" s="7" t="s">
        <v>945</v>
      </c>
      <c r="D14" s="8"/>
      <c r="E14" s="8"/>
      <c r="F14" s="8"/>
      <c r="G14" s="7" t="s">
        <v>913</v>
      </c>
      <c r="H14" s="7" t="s">
        <v>946</v>
      </c>
      <c r="I14" s="7" t="s">
        <v>71</v>
      </c>
      <c r="J14" s="7" t="s">
        <v>72</v>
      </c>
      <c r="K14" s="7"/>
      <c r="L14" s="7"/>
    </row>
    <row r="15" spans="1:12" ht="23.25" customHeight="1" x14ac:dyDescent="0.2">
      <c r="A15" s="7" t="s">
        <v>947</v>
      </c>
      <c r="B15" s="7" t="s">
        <v>948</v>
      </c>
      <c r="C15" s="7" t="s">
        <v>949</v>
      </c>
      <c r="D15" s="8"/>
      <c r="E15" s="8"/>
      <c r="F15" s="8"/>
      <c r="G15" s="7" t="s">
        <v>913</v>
      </c>
      <c r="H15" s="7" t="s">
        <v>950</v>
      </c>
      <c r="I15" s="7" t="s">
        <v>71</v>
      </c>
      <c r="J15" s="7" t="s">
        <v>72</v>
      </c>
      <c r="K15" s="7"/>
      <c r="L15" s="7"/>
    </row>
    <row r="16" spans="1:12" ht="23.25" customHeight="1" x14ac:dyDescent="0.2">
      <c r="A16" s="7" t="s">
        <v>951</v>
      </c>
      <c r="B16" s="7" t="s">
        <v>952</v>
      </c>
      <c r="C16" s="7" t="s">
        <v>953</v>
      </c>
      <c r="D16" s="8"/>
      <c r="E16" s="8"/>
      <c r="F16" s="8"/>
      <c r="G16" s="7" t="s">
        <v>913</v>
      </c>
      <c r="H16" s="7" t="s">
        <v>954</v>
      </c>
      <c r="I16" s="7" t="s">
        <v>71</v>
      </c>
      <c r="J16" s="7" t="s">
        <v>72</v>
      </c>
      <c r="K16" s="7"/>
      <c r="L16" s="7"/>
    </row>
    <row r="17" spans="1:12" ht="34.5" customHeight="1" x14ac:dyDescent="0.2">
      <c r="A17" s="7" t="s">
        <v>955</v>
      </c>
      <c r="B17" s="7" t="s">
        <v>956</v>
      </c>
      <c r="C17" s="7" t="s">
        <v>957</v>
      </c>
      <c r="D17" s="8"/>
      <c r="E17" s="8"/>
      <c r="F17" s="8"/>
      <c r="G17" s="7" t="s">
        <v>913</v>
      </c>
      <c r="H17" s="7" t="s">
        <v>958</v>
      </c>
      <c r="I17" s="7" t="s">
        <v>71</v>
      </c>
      <c r="J17" s="7" t="s">
        <v>72</v>
      </c>
      <c r="K17" s="7"/>
      <c r="L17" s="7"/>
    </row>
    <row r="18" spans="1:12" ht="15" customHeight="1" x14ac:dyDescent="0.2">
      <c r="A18" s="6" t="s">
        <v>959</v>
      </c>
      <c r="B18" s="6" t="s">
        <v>960</v>
      </c>
      <c r="C18" s="6"/>
      <c r="D18" s="6"/>
      <c r="E18" s="6"/>
      <c r="F18" s="6"/>
      <c r="G18" s="6"/>
      <c r="H18" s="6"/>
      <c r="I18" s="6"/>
      <c r="J18" s="6"/>
      <c r="K18" s="6"/>
      <c r="L18" s="6"/>
    </row>
    <row r="19" spans="1:12" ht="23.25" customHeight="1" x14ac:dyDescent="0.2">
      <c r="A19" s="7" t="s">
        <v>961</v>
      </c>
      <c r="B19" s="7" t="s">
        <v>962</v>
      </c>
      <c r="C19" s="7" t="s">
        <v>963</v>
      </c>
      <c r="D19" s="8"/>
      <c r="E19" s="8"/>
      <c r="F19" s="8"/>
      <c r="G19" s="7" t="s">
        <v>913</v>
      </c>
      <c r="H19" s="7" t="s">
        <v>964</v>
      </c>
      <c r="I19" s="7" t="s">
        <v>71</v>
      </c>
      <c r="J19" s="7" t="s">
        <v>72</v>
      </c>
      <c r="K19" s="7"/>
      <c r="L19" s="7"/>
    </row>
    <row r="20" spans="1:12" ht="34.5" customHeight="1" x14ac:dyDescent="0.2">
      <c r="A20" s="7" t="s">
        <v>225</v>
      </c>
      <c r="B20" s="7" t="s">
        <v>965</v>
      </c>
      <c r="C20" s="7" t="s">
        <v>966</v>
      </c>
      <c r="D20" s="8"/>
      <c r="E20" s="8"/>
      <c r="F20" s="8"/>
      <c r="G20" s="7" t="s">
        <v>913</v>
      </c>
      <c r="H20" s="7" t="s">
        <v>967</v>
      </c>
      <c r="I20" s="7" t="s">
        <v>71</v>
      </c>
      <c r="J20" s="7" t="s">
        <v>72</v>
      </c>
      <c r="K20" s="7"/>
      <c r="L20" s="7"/>
    </row>
    <row r="21" spans="1:12" ht="34.5" customHeight="1" x14ac:dyDescent="0.2">
      <c r="A21" s="7" t="s">
        <v>230</v>
      </c>
      <c r="B21" s="7" t="s">
        <v>968</v>
      </c>
      <c r="C21" s="7" t="s">
        <v>969</v>
      </c>
      <c r="D21" s="8"/>
      <c r="E21" s="8" t="s">
        <v>67</v>
      </c>
      <c r="F21" s="8"/>
      <c r="G21" s="7" t="s">
        <v>970</v>
      </c>
      <c r="H21" s="7" t="s">
        <v>971</v>
      </c>
      <c r="I21" s="7" t="s">
        <v>71</v>
      </c>
      <c r="J21" s="7" t="s">
        <v>72</v>
      </c>
      <c r="K21" s="7"/>
      <c r="L21" s="7"/>
    </row>
    <row r="22" spans="1:12" ht="23.25" customHeight="1" x14ac:dyDescent="0.2">
      <c r="A22" s="7" t="s">
        <v>972</v>
      </c>
      <c r="B22" s="7" t="s">
        <v>973</v>
      </c>
      <c r="C22" s="7" t="s">
        <v>974</v>
      </c>
      <c r="D22" s="8"/>
      <c r="E22" s="8"/>
      <c r="F22" s="8"/>
      <c r="G22" s="7" t="s">
        <v>913</v>
      </c>
      <c r="H22" s="7" t="s">
        <v>975</v>
      </c>
      <c r="I22" s="7" t="s">
        <v>71</v>
      </c>
      <c r="J22" s="7" t="s">
        <v>72</v>
      </c>
      <c r="K22" s="7"/>
      <c r="L22" s="7"/>
    </row>
    <row r="23" spans="1:12" ht="34.5" customHeight="1" x14ac:dyDescent="0.2">
      <c r="A23" s="7" t="s">
        <v>976</v>
      </c>
      <c r="B23" s="7" t="s">
        <v>977</v>
      </c>
      <c r="C23" s="7" t="s">
        <v>978</v>
      </c>
      <c r="D23" s="8" t="s">
        <v>67</v>
      </c>
      <c r="E23" s="8"/>
      <c r="F23" s="8"/>
      <c r="G23" s="7" t="s">
        <v>979</v>
      </c>
      <c r="H23" s="7" t="s">
        <v>980</v>
      </c>
      <c r="I23" s="7" t="s">
        <v>71</v>
      </c>
      <c r="J23" s="7" t="s">
        <v>72</v>
      </c>
      <c r="K23" s="7"/>
      <c r="L23" s="7"/>
    </row>
    <row r="24" spans="1:12" ht="15" customHeight="1" x14ac:dyDescent="0.2">
      <c r="A24" s="6" t="s">
        <v>981</v>
      </c>
      <c r="B24" s="6" t="s">
        <v>982</v>
      </c>
      <c r="C24" s="6"/>
      <c r="D24" s="6"/>
      <c r="E24" s="6"/>
      <c r="F24" s="6"/>
      <c r="G24" s="6"/>
      <c r="H24" s="6"/>
      <c r="I24" s="6"/>
      <c r="J24" s="6"/>
      <c r="K24" s="6"/>
      <c r="L24" s="6"/>
    </row>
    <row r="25" spans="1:12" ht="34.5" customHeight="1" x14ac:dyDescent="0.2">
      <c r="A25" s="7" t="s">
        <v>94</v>
      </c>
      <c r="B25" s="7" t="s">
        <v>983</v>
      </c>
      <c r="C25" s="7" t="s">
        <v>984</v>
      </c>
      <c r="D25" s="8"/>
      <c r="E25" s="8"/>
      <c r="F25" s="8"/>
      <c r="G25" s="7" t="s">
        <v>913</v>
      </c>
      <c r="H25" s="7" t="s">
        <v>985</v>
      </c>
      <c r="I25" s="7" t="s">
        <v>71</v>
      </c>
      <c r="J25" s="7" t="s">
        <v>72</v>
      </c>
      <c r="K25" s="7"/>
      <c r="L25" s="7"/>
    </row>
    <row r="26" spans="1:12" ht="23.25" customHeight="1" x14ac:dyDescent="0.2">
      <c r="A26" s="7" t="s">
        <v>986</v>
      </c>
      <c r="B26" s="7" t="s">
        <v>987</v>
      </c>
      <c r="C26" s="7" t="s">
        <v>988</v>
      </c>
      <c r="D26" s="8"/>
      <c r="E26" s="8"/>
      <c r="F26" s="8"/>
      <c r="G26" s="7" t="s">
        <v>913</v>
      </c>
      <c r="H26" s="7" t="s">
        <v>989</v>
      </c>
      <c r="I26" s="7" t="s">
        <v>71</v>
      </c>
      <c r="J26" s="7" t="s">
        <v>72</v>
      </c>
      <c r="K26" s="7"/>
      <c r="L26" s="7"/>
    </row>
    <row r="27" spans="1:12" ht="34.5" customHeight="1" x14ac:dyDescent="0.2">
      <c r="A27" s="7" t="s">
        <v>990</v>
      </c>
      <c r="B27" s="7" t="s">
        <v>991</v>
      </c>
      <c r="C27" s="7" t="s">
        <v>992</v>
      </c>
      <c r="D27" s="8"/>
      <c r="E27" s="8"/>
      <c r="F27" s="8"/>
      <c r="G27" s="7" t="s">
        <v>913</v>
      </c>
      <c r="H27" s="7" t="s">
        <v>993</v>
      </c>
      <c r="I27" s="7" t="s">
        <v>71</v>
      </c>
      <c r="J27" s="7" t="s">
        <v>72</v>
      </c>
      <c r="K27" s="7"/>
      <c r="L27" s="7"/>
    </row>
    <row r="28" spans="1:12" ht="23.25" customHeight="1" x14ac:dyDescent="0.2">
      <c r="A28" s="7" t="s">
        <v>994</v>
      </c>
      <c r="B28" s="7" t="s">
        <v>995</v>
      </c>
      <c r="C28" s="7" t="s">
        <v>996</v>
      </c>
      <c r="D28" s="8"/>
      <c r="E28" s="8"/>
      <c r="F28" s="8"/>
      <c r="G28" s="7" t="s">
        <v>913</v>
      </c>
      <c r="H28" s="7" t="s">
        <v>997</v>
      </c>
      <c r="I28" s="7" t="s">
        <v>71</v>
      </c>
      <c r="J28" s="7" t="s">
        <v>72</v>
      </c>
      <c r="K28" s="7"/>
      <c r="L28" s="7"/>
    </row>
  </sheetData>
  <autoFilter ref="A3:L28" xr:uid="{00000000-0009-0000-0000-000008000000}"/>
  <conditionalFormatting sqref="J4:J28">
    <cfRule type="cellIs" dxfId="45" priority="2" operator="equal">
      <formula>"Implemented"</formula>
    </cfRule>
    <cfRule type="cellIs" dxfId="44" priority="3" operator="equal">
      <formula>"Verified"</formula>
    </cfRule>
    <cfRule type="cellIs" dxfId="43" priority="4" operator="equal">
      <formula>"In progress"</formula>
    </cfRule>
  </conditionalFormatting>
  <dataValidations count="2">
    <dataValidation type="list" allowBlank="1" sqref="I4:I28" xr:uid="{00000000-0002-0000-0800-000000000000}">
      <formula1>"Yes,No"</formula1>
      <formula2>0</formula2>
    </dataValidation>
    <dataValidation type="list" allowBlank="1" sqref="J4:J28" xr:uid="{00000000-0002-0000-0800-000001000000}">
      <formula1>"Not started,In progress,Implemented,Verified,Not applicable"</formula1>
      <formula2>0</formula2>
    </dataValidation>
  </dataValidations>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139"/>
  <sheetViews>
    <sheetView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5" x14ac:dyDescent="0.2"/>
  <cols>
    <col min="1" max="1" width="9" customWidth="1"/>
    <col min="2" max="2" width="38" customWidth="1"/>
    <col min="3" max="3" width="62" customWidth="1"/>
    <col min="4" max="6" width="5" customWidth="1"/>
    <col min="7" max="7" width="52" customWidth="1"/>
    <col min="8" max="8" width="40" customWidth="1"/>
    <col min="9" max="9" width="12" customWidth="1"/>
    <col min="10" max="11" width="14" customWidth="1"/>
    <col min="12" max="12" width="26" customWidth="1"/>
  </cols>
  <sheetData>
    <row r="1" spans="1:12" ht="17.25" customHeight="1" x14ac:dyDescent="0.2">
      <c r="A1" s="3" t="s">
        <v>998</v>
      </c>
    </row>
    <row r="3" spans="1:12" ht="15" customHeight="1" x14ac:dyDescent="0.2">
      <c r="A3" s="23" t="s">
        <v>48</v>
      </c>
      <c r="B3" s="23" t="s">
        <v>50</v>
      </c>
      <c r="C3" s="23" t="s">
        <v>51</v>
      </c>
      <c r="D3" s="23" t="s">
        <v>52</v>
      </c>
      <c r="E3" s="23" t="s">
        <v>53</v>
      </c>
      <c r="F3" s="23" t="s">
        <v>54</v>
      </c>
      <c r="G3" s="23" t="s">
        <v>999</v>
      </c>
      <c r="H3" s="23" t="s">
        <v>57</v>
      </c>
      <c r="I3" s="23" t="s">
        <v>545</v>
      </c>
      <c r="J3" s="23" t="s">
        <v>59</v>
      </c>
      <c r="K3" s="23" t="s">
        <v>60</v>
      </c>
      <c r="L3" s="23" t="s">
        <v>61</v>
      </c>
    </row>
    <row r="4" spans="1:12" ht="15" customHeight="1" x14ac:dyDescent="0.2">
      <c r="A4" s="6" t="s">
        <v>1000</v>
      </c>
      <c r="B4" s="6"/>
      <c r="C4" s="6"/>
      <c r="D4" s="6"/>
      <c r="E4" s="6"/>
      <c r="F4" s="6"/>
      <c r="G4" s="6"/>
      <c r="H4" s="6"/>
      <c r="I4" s="6"/>
      <c r="J4" s="6"/>
      <c r="K4" s="6"/>
      <c r="L4" s="6"/>
    </row>
    <row r="5" spans="1:12" ht="15" customHeight="1" x14ac:dyDescent="0.2">
      <c r="A5" s="6" t="s">
        <v>910</v>
      </c>
      <c r="B5" s="6" t="s">
        <v>1001</v>
      </c>
      <c r="C5" s="6"/>
      <c r="D5" s="6"/>
      <c r="E5" s="6"/>
      <c r="F5" s="6"/>
      <c r="G5" s="6"/>
      <c r="H5" s="6"/>
      <c r="I5" s="6"/>
      <c r="J5" s="6"/>
      <c r="K5" s="6"/>
      <c r="L5" s="6"/>
    </row>
    <row r="6" spans="1:12" ht="23.25" customHeight="1" x14ac:dyDescent="0.2">
      <c r="A6" s="7" t="s">
        <v>176</v>
      </c>
      <c r="B6" s="7" t="s">
        <v>177</v>
      </c>
      <c r="C6" s="7" t="s">
        <v>1002</v>
      </c>
      <c r="D6" s="8"/>
      <c r="E6" s="8"/>
      <c r="F6" s="8"/>
      <c r="G6" s="7" t="s">
        <v>552</v>
      </c>
      <c r="H6" s="7" t="s">
        <v>1003</v>
      </c>
      <c r="I6" s="7" t="s">
        <v>71</v>
      </c>
      <c r="J6" s="7" t="s">
        <v>72</v>
      </c>
      <c r="K6" s="7"/>
      <c r="L6" s="7"/>
    </row>
    <row r="7" spans="1:12" ht="23.25" customHeight="1" x14ac:dyDescent="0.2">
      <c r="A7" s="7" t="s">
        <v>182</v>
      </c>
      <c r="B7" s="7" t="s">
        <v>1004</v>
      </c>
      <c r="C7" s="7" t="s">
        <v>1005</v>
      </c>
      <c r="D7" s="8"/>
      <c r="E7" s="8"/>
      <c r="F7" s="8"/>
      <c r="G7" s="7" t="s">
        <v>552</v>
      </c>
      <c r="H7" s="7" t="s">
        <v>1006</v>
      </c>
      <c r="I7" s="7" t="s">
        <v>71</v>
      </c>
      <c r="J7" s="7" t="s">
        <v>72</v>
      </c>
      <c r="K7" s="7"/>
      <c r="L7" s="7"/>
    </row>
    <row r="8" spans="1:12" ht="23.25" customHeight="1" x14ac:dyDescent="0.2">
      <c r="A8" s="7" t="s">
        <v>187</v>
      </c>
      <c r="B8" s="7" t="s">
        <v>1007</v>
      </c>
      <c r="C8" s="7" t="s">
        <v>1008</v>
      </c>
      <c r="D8" s="8"/>
      <c r="E8" s="8"/>
      <c r="F8" s="8"/>
      <c r="G8" s="7" t="s">
        <v>552</v>
      </c>
      <c r="H8" s="7" t="s">
        <v>1009</v>
      </c>
      <c r="I8" s="7" t="s">
        <v>71</v>
      </c>
      <c r="J8" s="7" t="s">
        <v>72</v>
      </c>
      <c r="K8" s="7"/>
      <c r="L8" s="7"/>
    </row>
    <row r="9" spans="1:12" ht="23.25" customHeight="1" x14ac:dyDescent="0.2">
      <c r="A9" s="7" t="s">
        <v>192</v>
      </c>
      <c r="B9" s="7" t="s">
        <v>1010</v>
      </c>
      <c r="C9" s="7" t="s">
        <v>1011</v>
      </c>
      <c r="D9" s="8"/>
      <c r="E9" s="8"/>
      <c r="F9" s="8"/>
      <c r="G9" s="7" t="s">
        <v>552</v>
      </c>
      <c r="H9" s="7" t="s">
        <v>1012</v>
      </c>
      <c r="I9" s="7" t="s">
        <v>71</v>
      </c>
      <c r="J9" s="7" t="s">
        <v>72</v>
      </c>
      <c r="K9" s="7"/>
      <c r="L9" s="7"/>
    </row>
    <row r="10" spans="1:12" ht="15" customHeight="1" x14ac:dyDescent="0.2">
      <c r="A10" s="6" t="s">
        <v>1013</v>
      </c>
      <c r="B10" s="6" t="s">
        <v>1014</v>
      </c>
      <c r="C10" s="6"/>
      <c r="D10" s="6"/>
      <c r="E10" s="6"/>
      <c r="F10" s="6"/>
      <c r="G10" s="6"/>
      <c r="H10" s="6"/>
      <c r="I10" s="6"/>
      <c r="J10" s="6"/>
      <c r="K10" s="6"/>
      <c r="L10" s="6"/>
    </row>
    <row r="11" spans="1:12" ht="34.5" customHeight="1" x14ac:dyDescent="0.2">
      <c r="A11" s="7" t="s">
        <v>197</v>
      </c>
      <c r="B11" s="7" t="s">
        <v>198</v>
      </c>
      <c r="C11" s="7" t="s">
        <v>1015</v>
      </c>
      <c r="D11" s="8"/>
      <c r="E11" s="8"/>
      <c r="F11" s="8"/>
      <c r="G11" s="7" t="s">
        <v>552</v>
      </c>
      <c r="H11" s="7" t="s">
        <v>1016</v>
      </c>
      <c r="I11" s="7" t="s">
        <v>71</v>
      </c>
      <c r="J11" s="7" t="s">
        <v>72</v>
      </c>
      <c r="K11" s="7"/>
      <c r="L11" s="7"/>
    </row>
    <row r="12" spans="1:12" ht="34.5" customHeight="1" x14ac:dyDescent="0.2">
      <c r="A12" s="7" t="s">
        <v>203</v>
      </c>
      <c r="B12" s="7" t="s">
        <v>1017</v>
      </c>
      <c r="C12" s="7" t="s">
        <v>1018</v>
      </c>
      <c r="D12" s="8"/>
      <c r="E12" s="8"/>
      <c r="F12" s="8"/>
      <c r="G12" s="7" t="s">
        <v>552</v>
      </c>
      <c r="H12" s="7" t="s">
        <v>1019</v>
      </c>
      <c r="I12" s="7" t="s">
        <v>71</v>
      </c>
      <c r="J12" s="7" t="s">
        <v>72</v>
      </c>
      <c r="K12" s="7"/>
      <c r="L12" s="7"/>
    </row>
    <row r="13" spans="1:12" ht="23.25" customHeight="1" x14ac:dyDescent="0.2">
      <c r="A13" s="7" t="s">
        <v>208</v>
      </c>
      <c r="B13" s="7" t="s">
        <v>1020</v>
      </c>
      <c r="C13" s="7" t="s">
        <v>1021</v>
      </c>
      <c r="D13" s="8"/>
      <c r="E13" s="8"/>
      <c r="F13" s="8"/>
      <c r="G13" s="7" t="s">
        <v>552</v>
      </c>
      <c r="H13" s="7" t="s">
        <v>1022</v>
      </c>
      <c r="I13" s="7" t="s">
        <v>71</v>
      </c>
      <c r="J13" s="7" t="s">
        <v>72</v>
      </c>
      <c r="K13" s="7"/>
      <c r="L13" s="7"/>
    </row>
    <row r="14" spans="1:12" ht="15" customHeight="1" x14ac:dyDescent="0.2">
      <c r="A14" s="6" t="s">
        <v>1023</v>
      </c>
      <c r="B14" s="6" t="s">
        <v>1024</v>
      </c>
      <c r="C14" s="6"/>
      <c r="D14" s="6"/>
      <c r="E14" s="6"/>
      <c r="F14" s="6"/>
      <c r="G14" s="6"/>
      <c r="H14" s="6"/>
      <c r="I14" s="6"/>
      <c r="J14" s="6"/>
      <c r="K14" s="6"/>
      <c r="L14" s="6"/>
    </row>
    <row r="15" spans="1:12" ht="34.5" customHeight="1" x14ac:dyDescent="0.2">
      <c r="A15" s="7" t="s">
        <v>213</v>
      </c>
      <c r="B15" s="7" t="s">
        <v>214</v>
      </c>
      <c r="C15" s="7" t="s">
        <v>1025</v>
      </c>
      <c r="D15" s="8"/>
      <c r="E15" s="8"/>
      <c r="F15" s="8"/>
      <c r="G15" s="7" t="s">
        <v>552</v>
      </c>
      <c r="H15" s="7" t="s">
        <v>218</v>
      </c>
      <c r="I15" s="7" t="s">
        <v>71</v>
      </c>
      <c r="J15" s="7" t="s">
        <v>72</v>
      </c>
      <c r="K15" s="7"/>
      <c r="L15" s="7"/>
    </row>
    <row r="16" spans="1:12" ht="45.75" customHeight="1" x14ac:dyDescent="0.2">
      <c r="A16" s="7" t="s">
        <v>63</v>
      </c>
      <c r="B16" s="7" t="s">
        <v>1026</v>
      </c>
      <c r="C16" s="7" t="s">
        <v>1027</v>
      </c>
      <c r="D16" s="8" t="s">
        <v>67</v>
      </c>
      <c r="E16" s="8" t="s">
        <v>67</v>
      </c>
      <c r="F16" s="8" t="s">
        <v>67</v>
      </c>
      <c r="G16" s="7" t="s">
        <v>1028</v>
      </c>
      <c r="H16" s="7" t="s">
        <v>1029</v>
      </c>
      <c r="I16" s="7" t="s">
        <v>71</v>
      </c>
      <c r="J16" s="7" t="s">
        <v>72</v>
      </c>
      <c r="K16" s="7"/>
      <c r="L16" s="7"/>
    </row>
    <row r="17" spans="1:12" ht="45.75" customHeight="1" x14ac:dyDescent="0.2">
      <c r="A17" s="7" t="s">
        <v>73</v>
      </c>
      <c r="B17" s="7" t="s">
        <v>1030</v>
      </c>
      <c r="C17" s="7" t="s">
        <v>1031</v>
      </c>
      <c r="D17" s="8" t="s">
        <v>67</v>
      </c>
      <c r="E17" s="8" t="s">
        <v>67</v>
      </c>
      <c r="F17" s="8" t="s">
        <v>67</v>
      </c>
      <c r="G17" s="7" t="s">
        <v>1032</v>
      </c>
      <c r="H17" s="7" t="s">
        <v>1033</v>
      </c>
      <c r="I17" s="7" t="s">
        <v>71</v>
      </c>
      <c r="J17" s="7" t="s">
        <v>72</v>
      </c>
      <c r="K17" s="7"/>
      <c r="L17" s="7"/>
    </row>
    <row r="18" spans="1:12" ht="23.25" customHeight="1" x14ac:dyDescent="0.2">
      <c r="A18" s="7" t="s">
        <v>225</v>
      </c>
      <c r="B18" s="7" t="s">
        <v>1034</v>
      </c>
      <c r="C18" s="7" t="s">
        <v>1035</v>
      </c>
      <c r="D18" s="8"/>
      <c r="E18" s="8"/>
      <c r="F18" s="8"/>
      <c r="G18" s="7" t="s">
        <v>552</v>
      </c>
      <c r="H18" s="7" t="s">
        <v>1036</v>
      </c>
      <c r="I18" s="7" t="s">
        <v>71</v>
      </c>
      <c r="J18" s="7" t="s">
        <v>72</v>
      </c>
      <c r="K18" s="7"/>
      <c r="L18" s="7"/>
    </row>
    <row r="19" spans="1:12" ht="23.25" customHeight="1" x14ac:dyDescent="0.2">
      <c r="A19" s="7" t="s">
        <v>230</v>
      </c>
      <c r="B19" s="7" t="s">
        <v>231</v>
      </c>
      <c r="C19" s="7" t="s">
        <v>1037</v>
      </c>
      <c r="D19" s="8"/>
      <c r="E19" s="8"/>
      <c r="F19" s="8"/>
      <c r="G19" s="7" t="s">
        <v>552</v>
      </c>
      <c r="H19" s="7" t="s">
        <v>1038</v>
      </c>
      <c r="I19" s="7" t="s">
        <v>71</v>
      </c>
      <c r="J19" s="7" t="s">
        <v>72</v>
      </c>
      <c r="K19" s="7"/>
      <c r="L19" s="7"/>
    </row>
    <row r="20" spans="1:12" ht="15" customHeight="1" x14ac:dyDescent="0.2">
      <c r="A20" s="6" t="s">
        <v>1039</v>
      </c>
      <c r="B20" s="6" t="s">
        <v>1040</v>
      </c>
      <c r="C20" s="6"/>
      <c r="D20" s="6"/>
      <c r="E20" s="6"/>
      <c r="F20" s="6"/>
      <c r="G20" s="6"/>
      <c r="H20" s="6"/>
      <c r="I20" s="6"/>
      <c r="J20" s="6"/>
      <c r="K20" s="6"/>
      <c r="L20" s="6"/>
    </row>
    <row r="21" spans="1:12" ht="23.25" customHeight="1" x14ac:dyDescent="0.2">
      <c r="A21" s="7" t="s">
        <v>235</v>
      </c>
      <c r="B21" s="7" t="s">
        <v>236</v>
      </c>
      <c r="C21" s="7" t="s">
        <v>1041</v>
      </c>
      <c r="D21" s="8"/>
      <c r="E21" s="8"/>
      <c r="F21" s="8"/>
      <c r="G21" s="7" t="s">
        <v>552</v>
      </c>
      <c r="H21" s="7" t="s">
        <v>1042</v>
      </c>
      <c r="I21" s="7" t="s">
        <v>71</v>
      </c>
      <c r="J21" s="7" t="s">
        <v>72</v>
      </c>
      <c r="K21" s="7"/>
      <c r="L21" s="7"/>
    </row>
    <row r="22" spans="1:12" ht="34.5" customHeight="1" x14ac:dyDescent="0.2">
      <c r="A22" s="7" t="s">
        <v>241</v>
      </c>
      <c r="B22" s="7" t="s">
        <v>242</v>
      </c>
      <c r="C22" s="7" t="s">
        <v>1043</v>
      </c>
      <c r="D22" s="8"/>
      <c r="E22" s="8"/>
      <c r="F22" s="8"/>
      <c r="G22" s="7" t="s">
        <v>552</v>
      </c>
      <c r="H22" s="7" t="s">
        <v>1044</v>
      </c>
      <c r="I22" s="7" t="s">
        <v>71</v>
      </c>
      <c r="J22" s="7" t="s">
        <v>72</v>
      </c>
      <c r="K22" s="7"/>
      <c r="L22" s="7"/>
    </row>
    <row r="23" spans="1:12" ht="23.25" customHeight="1" x14ac:dyDescent="0.2">
      <c r="A23" s="7" t="s">
        <v>246</v>
      </c>
      <c r="B23" s="7" t="s">
        <v>247</v>
      </c>
      <c r="C23" s="7" t="s">
        <v>1045</v>
      </c>
      <c r="D23" s="8"/>
      <c r="E23" s="8"/>
      <c r="F23" s="8"/>
      <c r="G23" s="7" t="s">
        <v>552</v>
      </c>
      <c r="H23" s="7" t="s">
        <v>1046</v>
      </c>
      <c r="I23" s="7" t="s">
        <v>71</v>
      </c>
      <c r="J23" s="7" t="s">
        <v>72</v>
      </c>
      <c r="K23" s="7"/>
      <c r="L23" s="7"/>
    </row>
    <row r="24" spans="1:12" ht="23.25" customHeight="1" x14ac:dyDescent="0.2">
      <c r="A24" s="7" t="s">
        <v>251</v>
      </c>
      <c r="B24" s="7" t="s">
        <v>252</v>
      </c>
      <c r="C24" s="7" t="s">
        <v>1047</v>
      </c>
      <c r="D24" s="8"/>
      <c r="E24" s="8"/>
      <c r="F24" s="8"/>
      <c r="G24" s="7" t="s">
        <v>552</v>
      </c>
      <c r="H24" s="7" t="s">
        <v>255</v>
      </c>
      <c r="I24" s="7" t="s">
        <v>71</v>
      </c>
      <c r="J24" s="7" t="s">
        <v>72</v>
      </c>
      <c r="K24" s="7"/>
      <c r="L24" s="7"/>
    </row>
    <row r="25" spans="1:12" ht="23.25" customHeight="1" x14ac:dyDescent="0.2">
      <c r="A25" s="7" t="s">
        <v>256</v>
      </c>
      <c r="B25" s="7" t="s">
        <v>257</v>
      </c>
      <c r="C25" s="7" t="s">
        <v>1048</v>
      </c>
      <c r="D25" s="8"/>
      <c r="E25" s="8"/>
      <c r="F25" s="8"/>
      <c r="G25" s="7" t="s">
        <v>552</v>
      </c>
      <c r="H25" s="7" t="s">
        <v>260</v>
      </c>
      <c r="I25" s="7" t="s">
        <v>71</v>
      </c>
      <c r="J25" s="7" t="s">
        <v>72</v>
      </c>
      <c r="K25" s="7"/>
      <c r="L25" s="7"/>
    </row>
    <row r="26" spans="1:12" ht="23.25" customHeight="1" x14ac:dyDescent="0.2">
      <c r="A26" s="7" t="s">
        <v>261</v>
      </c>
      <c r="B26" s="7" t="s">
        <v>1049</v>
      </c>
      <c r="C26" s="7" t="s">
        <v>1050</v>
      </c>
      <c r="D26" s="8"/>
      <c r="E26" s="8"/>
      <c r="F26" s="8"/>
      <c r="G26" s="7" t="s">
        <v>552</v>
      </c>
      <c r="H26" s="7" t="s">
        <v>1051</v>
      </c>
      <c r="I26" s="7" t="s">
        <v>71</v>
      </c>
      <c r="J26" s="7" t="s">
        <v>72</v>
      </c>
      <c r="K26" s="7"/>
      <c r="L26" s="7"/>
    </row>
    <row r="27" spans="1:12" ht="23.25" customHeight="1" x14ac:dyDescent="0.2">
      <c r="A27" s="7" t="s">
        <v>78</v>
      </c>
      <c r="B27" s="7" t="s">
        <v>79</v>
      </c>
      <c r="C27" s="7" t="s">
        <v>1052</v>
      </c>
      <c r="D27" s="8" t="s">
        <v>67</v>
      </c>
      <c r="E27" s="8" t="s">
        <v>67</v>
      </c>
      <c r="F27" s="8"/>
      <c r="G27" s="7" t="s">
        <v>1053</v>
      </c>
      <c r="H27" s="7" t="s">
        <v>1054</v>
      </c>
      <c r="I27" s="7" t="s">
        <v>71</v>
      </c>
      <c r="J27" s="7" t="s">
        <v>72</v>
      </c>
      <c r="K27" s="7"/>
      <c r="L27" s="7"/>
    </row>
    <row r="28" spans="1:12" ht="15" customHeight="1" x14ac:dyDescent="0.2">
      <c r="A28" s="6" t="s">
        <v>1055</v>
      </c>
      <c r="B28" s="6" t="s">
        <v>1056</v>
      </c>
      <c r="C28" s="6"/>
      <c r="D28" s="6"/>
      <c r="E28" s="6"/>
      <c r="F28" s="6"/>
      <c r="G28" s="6"/>
      <c r="H28" s="6"/>
      <c r="I28" s="6"/>
      <c r="J28" s="6"/>
      <c r="K28" s="6"/>
      <c r="L28" s="6"/>
    </row>
    <row r="29" spans="1:12" ht="34.5" customHeight="1" x14ac:dyDescent="0.2">
      <c r="A29" s="7" t="s">
        <v>265</v>
      </c>
      <c r="B29" s="7" t="s">
        <v>266</v>
      </c>
      <c r="C29" s="7" t="s">
        <v>1057</v>
      </c>
      <c r="D29" s="8"/>
      <c r="E29" s="8"/>
      <c r="F29" s="8"/>
      <c r="G29" s="7" t="s">
        <v>552</v>
      </c>
      <c r="H29" s="7" t="s">
        <v>270</v>
      </c>
      <c r="I29" s="7" t="s">
        <v>71</v>
      </c>
      <c r="J29" s="7" t="s">
        <v>72</v>
      </c>
      <c r="K29" s="7"/>
      <c r="L29" s="7"/>
    </row>
    <row r="30" spans="1:12" ht="23.25" customHeight="1" x14ac:dyDescent="0.2">
      <c r="A30" s="7" t="s">
        <v>84</v>
      </c>
      <c r="B30" s="7" t="s">
        <v>1026</v>
      </c>
      <c r="C30" s="7" t="s">
        <v>1058</v>
      </c>
      <c r="D30" s="8" t="s">
        <v>67</v>
      </c>
      <c r="E30" s="8" t="s">
        <v>67</v>
      </c>
      <c r="F30" s="8" t="s">
        <v>67</v>
      </c>
      <c r="G30" s="7" t="s">
        <v>1059</v>
      </c>
      <c r="H30" s="7" t="s">
        <v>87</v>
      </c>
      <c r="I30" s="7" t="s">
        <v>71</v>
      </c>
      <c r="J30" s="7" t="s">
        <v>72</v>
      </c>
      <c r="K30" s="7"/>
      <c r="L30" s="7"/>
    </row>
    <row r="31" spans="1:12" ht="15" customHeight="1" x14ac:dyDescent="0.2">
      <c r="A31" s="7" t="s">
        <v>88</v>
      </c>
      <c r="B31" s="7" t="s">
        <v>1030</v>
      </c>
      <c r="C31" s="7" t="s">
        <v>1060</v>
      </c>
      <c r="D31" s="8" t="s">
        <v>67</v>
      </c>
      <c r="E31" s="8" t="s">
        <v>67</v>
      </c>
      <c r="F31" s="8" t="s">
        <v>67</v>
      </c>
      <c r="G31" s="7" t="s">
        <v>1061</v>
      </c>
      <c r="H31" s="7" t="s">
        <v>91</v>
      </c>
      <c r="I31" s="7" t="s">
        <v>71</v>
      </c>
      <c r="J31" s="7" t="s">
        <v>72</v>
      </c>
      <c r="K31" s="7"/>
      <c r="L31" s="7"/>
    </row>
    <row r="32" spans="1:12" ht="15" customHeight="1" x14ac:dyDescent="0.2">
      <c r="A32" s="6" t="s">
        <v>1062</v>
      </c>
      <c r="B32" s="6" t="s">
        <v>278</v>
      </c>
      <c r="C32" s="6"/>
      <c r="D32" s="6"/>
      <c r="E32" s="6"/>
      <c r="F32" s="6"/>
      <c r="G32" s="6"/>
      <c r="H32" s="6"/>
      <c r="I32" s="6"/>
      <c r="J32" s="6"/>
      <c r="K32" s="6"/>
      <c r="L32" s="6"/>
    </row>
    <row r="33" spans="1:12" ht="23.25" customHeight="1" x14ac:dyDescent="0.2">
      <c r="A33" s="7" t="s">
        <v>275</v>
      </c>
      <c r="B33" s="7" t="s">
        <v>276</v>
      </c>
      <c r="C33" s="7" t="s">
        <v>1063</v>
      </c>
      <c r="D33" s="8"/>
      <c r="E33" s="8"/>
      <c r="F33" s="8"/>
      <c r="G33" s="7" t="s">
        <v>552</v>
      </c>
      <c r="H33" s="7" t="s">
        <v>1064</v>
      </c>
      <c r="I33" s="7" t="s">
        <v>71</v>
      </c>
      <c r="J33" s="7" t="s">
        <v>72</v>
      </c>
      <c r="K33" s="7"/>
      <c r="L33" s="7"/>
    </row>
    <row r="34" spans="1:12" ht="23.25" customHeight="1" x14ac:dyDescent="0.2">
      <c r="A34" s="7" t="s">
        <v>281</v>
      </c>
      <c r="B34" s="7" t="s">
        <v>282</v>
      </c>
      <c r="C34" s="7" t="s">
        <v>1065</v>
      </c>
      <c r="D34" s="8"/>
      <c r="E34" s="8"/>
      <c r="F34" s="8"/>
      <c r="G34" s="7" t="s">
        <v>552</v>
      </c>
      <c r="H34" s="7" t="s">
        <v>1066</v>
      </c>
      <c r="I34" s="7" t="s">
        <v>71</v>
      </c>
      <c r="J34" s="7" t="s">
        <v>72</v>
      </c>
      <c r="K34" s="7"/>
      <c r="L34" s="7"/>
    </row>
    <row r="35" spans="1:12" ht="34.5" customHeight="1" x14ac:dyDescent="0.2">
      <c r="A35" s="7" t="s">
        <v>285</v>
      </c>
      <c r="B35" s="7" t="s">
        <v>286</v>
      </c>
      <c r="C35" s="7" t="s">
        <v>287</v>
      </c>
      <c r="D35" s="8"/>
      <c r="E35" s="8"/>
      <c r="F35" s="8"/>
      <c r="G35" s="7" t="s">
        <v>552</v>
      </c>
      <c r="H35" s="7" t="s">
        <v>1067</v>
      </c>
      <c r="I35" s="7" t="s">
        <v>71</v>
      </c>
      <c r="J35" s="7" t="s">
        <v>72</v>
      </c>
      <c r="K35" s="7"/>
      <c r="L35" s="7"/>
    </row>
    <row r="36" spans="1:12" ht="23.25" customHeight="1" x14ac:dyDescent="0.2">
      <c r="A36" s="7" t="s">
        <v>289</v>
      </c>
      <c r="B36" s="7" t="s">
        <v>290</v>
      </c>
      <c r="C36" s="7" t="s">
        <v>1068</v>
      </c>
      <c r="D36" s="8"/>
      <c r="E36" s="8"/>
      <c r="F36" s="8"/>
      <c r="G36" s="7" t="s">
        <v>552</v>
      </c>
      <c r="H36" s="7" t="s">
        <v>1069</v>
      </c>
      <c r="I36" s="7" t="s">
        <v>71</v>
      </c>
      <c r="J36" s="7" t="s">
        <v>72</v>
      </c>
      <c r="K36" s="7"/>
      <c r="L36" s="7"/>
    </row>
    <row r="37" spans="1:12" ht="34.5" customHeight="1" x14ac:dyDescent="0.2">
      <c r="A37" s="7" t="s">
        <v>293</v>
      </c>
      <c r="B37" s="7" t="s">
        <v>294</v>
      </c>
      <c r="C37" s="7" t="s">
        <v>1070</v>
      </c>
      <c r="D37" s="8"/>
      <c r="E37" s="8"/>
      <c r="F37" s="8"/>
      <c r="G37" s="7" t="s">
        <v>552</v>
      </c>
      <c r="H37" s="7" t="s">
        <v>296</v>
      </c>
      <c r="I37" s="7" t="s">
        <v>71</v>
      </c>
      <c r="J37" s="7" t="s">
        <v>72</v>
      </c>
      <c r="K37" s="7"/>
      <c r="L37" s="7"/>
    </row>
    <row r="38" spans="1:12" ht="23.25" customHeight="1" x14ac:dyDescent="0.2">
      <c r="A38" s="7" t="s">
        <v>297</v>
      </c>
      <c r="B38" s="7" t="s">
        <v>298</v>
      </c>
      <c r="C38" s="7" t="s">
        <v>1071</v>
      </c>
      <c r="D38" s="8"/>
      <c r="E38" s="8"/>
      <c r="F38" s="8"/>
      <c r="G38" s="7" t="s">
        <v>552</v>
      </c>
      <c r="H38" s="7" t="s">
        <v>300</v>
      </c>
      <c r="I38" s="7" t="s">
        <v>71</v>
      </c>
      <c r="J38" s="7" t="s">
        <v>72</v>
      </c>
      <c r="K38" s="7"/>
      <c r="L38" s="7"/>
    </row>
    <row r="39" spans="1:12" ht="15" customHeight="1" x14ac:dyDescent="0.2">
      <c r="A39" s="6" t="s">
        <v>1072</v>
      </c>
      <c r="B39" s="6" t="s">
        <v>304</v>
      </c>
      <c r="C39" s="6"/>
      <c r="D39" s="6"/>
      <c r="E39" s="6"/>
      <c r="F39" s="6"/>
      <c r="G39" s="6"/>
      <c r="H39" s="6"/>
      <c r="I39" s="6"/>
      <c r="J39" s="6"/>
      <c r="K39" s="6"/>
      <c r="L39" s="6"/>
    </row>
    <row r="40" spans="1:12" ht="23.25" customHeight="1" x14ac:dyDescent="0.2">
      <c r="A40" s="7" t="s">
        <v>301</v>
      </c>
      <c r="B40" s="7" t="s">
        <v>302</v>
      </c>
      <c r="C40" s="7" t="s">
        <v>1073</v>
      </c>
      <c r="D40" s="8"/>
      <c r="E40" s="8"/>
      <c r="F40" s="8"/>
      <c r="G40" s="7" t="s">
        <v>552</v>
      </c>
      <c r="H40" s="7" t="s">
        <v>1074</v>
      </c>
      <c r="I40" s="7" t="s">
        <v>71</v>
      </c>
      <c r="J40" s="7" t="s">
        <v>72</v>
      </c>
      <c r="K40" s="7"/>
      <c r="L40" s="7"/>
    </row>
    <row r="41" spans="1:12" ht="23.25" customHeight="1" x14ac:dyDescent="0.2">
      <c r="A41" s="7" t="s">
        <v>306</v>
      </c>
      <c r="B41" s="7" t="s">
        <v>307</v>
      </c>
      <c r="C41" s="7" t="s">
        <v>1075</v>
      </c>
      <c r="D41" s="8"/>
      <c r="E41" s="8"/>
      <c r="F41" s="8"/>
      <c r="G41" s="7" t="s">
        <v>552</v>
      </c>
      <c r="H41" s="7" t="s">
        <v>310</v>
      </c>
      <c r="I41" s="7" t="s">
        <v>71</v>
      </c>
      <c r="J41" s="7" t="s">
        <v>72</v>
      </c>
      <c r="K41" s="7"/>
      <c r="L41" s="7"/>
    </row>
    <row r="42" spans="1:12" ht="15" customHeight="1" x14ac:dyDescent="0.2">
      <c r="A42" s="6" t="s">
        <v>1076</v>
      </c>
      <c r="B42" s="6"/>
      <c r="C42" s="6"/>
      <c r="D42" s="6"/>
      <c r="E42" s="6"/>
      <c r="F42" s="6"/>
      <c r="G42" s="6"/>
      <c r="H42" s="6"/>
      <c r="I42" s="6"/>
      <c r="J42" s="6"/>
      <c r="K42" s="6"/>
      <c r="L42" s="6"/>
    </row>
    <row r="43" spans="1:12" ht="15" customHeight="1" x14ac:dyDescent="0.2">
      <c r="A43" s="6" t="s">
        <v>1077</v>
      </c>
      <c r="B43" s="6" t="s">
        <v>1078</v>
      </c>
      <c r="C43" s="6"/>
      <c r="D43" s="6"/>
      <c r="E43" s="6"/>
      <c r="F43" s="6"/>
      <c r="G43" s="6"/>
      <c r="H43" s="6"/>
      <c r="I43" s="6"/>
      <c r="J43" s="6"/>
      <c r="K43" s="6"/>
      <c r="L43" s="6"/>
    </row>
    <row r="44" spans="1:12" ht="23.25" customHeight="1" x14ac:dyDescent="0.2">
      <c r="A44" s="7" t="s">
        <v>197</v>
      </c>
      <c r="B44" s="7" t="s">
        <v>1079</v>
      </c>
      <c r="C44" s="7" t="s">
        <v>1080</v>
      </c>
      <c r="D44" s="8"/>
      <c r="E44" s="8"/>
      <c r="F44" s="8"/>
      <c r="G44" s="7" t="s">
        <v>552</v>
      </c>
      <c r="H44" s="7" t="s">
        <v>1081</v>
      </c>
      <c r="I44" s="7" t="s">
        <v>71</v>
      </c>
      <c r="J44" s="7" t="s">
        <v>72</v>
      </c>
      <c r="K44" s="7"/>
      <c r="L44" s="7"/>
    </row>
    <row r="45" spans="1:12" ht="23.25" customHeight="1" x14ac:dyDescent="0.2">
      <c r="A45" s="7" t="s">
        <v>203</v>
      </c>
      <c r="B45" s="7" t="s">
        <v>1082</v>
      </c>
      <c r="C45" s="7" t="s">
        <v>1083</v>
      </c>
      <c r="D45" s="8"/>
      <c r="E45" s="8"/>
      <c r="F45" s="8"/>
      <c r="G45" s="7" t="s">
        <v>552</v>
      </c>
      <c r="H45" s="7" t="s">
        <v>1084</v>
      </c>
      <c r="I45" s="7" t="s">
        <v>71</v>
      </c>
      <c r="J45" s="7" t="s">
        <v>72</v>
      </c>
      <c r="K45" s="7"/>
      <c r="L45" s="7"/>
    </row>
    <row r="46" spans="1:12" ht="23.25" customHeight="1" x14ac:dyDescent="0.2">
      <c r="A46" s="7" t="s">
        <v>208</v>
      </c>
      <c r="B46" s="7" t="s">
        <v>1085</v>
      </c>
      <c r="C46" s="7" t="s">
        <v>1086</v>
      </c>
      <c r="D46" s="8"/>
      <c r="E46" s="8" t="s">
        <v>67</v>
      </c>
      <c r="F46" s="8"/>
      <c r="G46" s="7" t="s">
        <v>1087</v>
      </c>
      <c r="H46" s="7" t="s">
        <v>1088</v>
      </c>
      <c r="I46" s="7" t="s">
        <v>71</v>
      </c>
      <c r="J46" s="7" t="s">
        <v>72</v>
      </c>
      <c r="K46" s="7"/>
      <c r="L46" s="7"/>
    </row>
    <row r="47" spans="1:12" ht="23.25" customHeight="1" x14ac:dyDescent="0.2">
      <c r="A47" s="7" t="s">
        <v>926</v>
      </c>
      <c r="B47" s="7" t="s">
        <v>1089</v>
      </c>
      <c r="C47" s="7" t="s">
        <v>1090</v>
      </c>
      <c r="D47" s="8"/>
      <c r="E47" s="8"/>
      <c r="F47" s="8"/>
      <c r="G47" s="7" t="s">
        <v>552</v>
      </c>
      <c r="H47" s="7" t="s">
        <v>1091</v>
      </c>
      <c r="I47" s="7" t="s">
        <v>71</v>
      </c>
      <c r="J47" s="7" t="s">
        <v>72</v>
      </c>
      <c r="K47" s="7"/>
      <c r="L47" s="7"/>
    </row>
    <row r="48" spans="1:12" ht="23.25" customHeight="1" x14ac:dyDescent="0.2">
      <c r="A48" s="7" t="s">
        <v>930</v>
      </c>
      <c r="B48" s="7" t="s">
        <v>1092</v>
      </c>
      <c r="C48" s="7" t="s">
        <v>1093</v>
      </c>
      <c r="D48" s="8"/>
      <c r="E48" s="8"/>
      <c r="F48" s="8"/>
      <c r="G48" s="7" t="s">
        <v>552</v>
      </c>
      <c r="H48" s="7" t="s">
        <v>1094</v>
      </c>
      <c r="I48" s="7" t="s">
        <v>71</v>
      </c>
      <c r="J48" s="7" t="s">
        <v>72</v>
      </c>
      <c r="K48" s="7"/>
      <c r="L48" s="7"/>
    </row>
    <row r="49" spans="1:12" ht="23.25" customHeight="1" x14ac:dyDescent="0.2">
      <c r="A49" s="7" t="s">
        <v>934</v>
      </c>
      <c r="B49" s="7" t="s">
        <v>1095</v>
      </c>
      <c r="C49" s="7" t="s">
        <v>1096</v>
      </c>
      <c r="D49" s="8"/>
      <c r="E49" s="8"/>
      <c r="F49" s="8"/>
      <c r="G49" s="7" t="s">
        <v>552</v>
      </c>
      <c r="H49" s="7" t="s">
        <v>1097</v>
      </c>
      <c r="I49" s="7" t="s">
        <v>71</v>
      </c>
      <c r="J49" s="7" t="s">
        <v>72</v>
      </c>
      <c r="K49" s="7"/>
      <c r="L49" s="7"/>
    </row>
    <row r="50" spans="1:12" ht="23.25" customHeight="1" x14ac:dyDescent="0.2">
      <c r="A50" s="7" t="s">
        <v>938</v>
      </c>
      <c r="B50" s="7" t="s">
        <v>1098</v>
      </c>
      <c r="C50" s="7" t="s">
        <v>1099</v>
      </c>
      <c r="D50" s="8" t="s">
        <v>67</v>
      </c>
      <c r="E50" s="8" t="s">
        <v>67</v>
      </c>
      <c r="F50" s="8" t="s">
        <v>67</v>
      </c>
      <c r="G50" s="7" t="s">
        <v>1100</v>
      </c>
      <c r="H50" s="7" t="s">
        <v>1101</v>
      </c>
      <c r="I50" s="7" t="s">
        <v>71</v>
      </c>
      <c r="J50" s="7" t="s">
        <v>72</v>
      </c>
      <c r="K50" s="7"/>
      <c r="L50" s="7"/>
    </row>
    <row r="51" spans="1:12" ht="23.25" customHeight="1" x14ac:dyDescent="0.2">
      <c r="A51" s="7" t="s">
        <v>943</v>
      </c>
      <c r="B51" s="7" t="s">
        <v>1102</v>
      </c>
      <c r="C51" s="7" t="s">
        <v>1103</v>
      </c>
      <c r="D51" s="8"/>
      <c r="E51" s="8"/>
      <c r="F51" s="8"/>
      <c r="G51" s="7" t="s">
        <v>552</v>
      </c>
      <c r="H51" s="7" t="s">
        <v>1104</v>
      </c>
      <c r="I51" s="7" t="s">
        <v>71</v>
      </c>
      <c r="J51" s="7" t="s">
        <v>72</v>
      </c>
      <c r="K51" s="7"/>
      <c r="L51" s="7"/>
    </row>
    <row r="52" spans="1:12" ht="23.25" customHeight="1" x14ac:dyDescent="0.2">
      <c r="A52" s="7" t="s">
        <v>947</v>
      </c>
      <c r="B52" s="7" t="s">
        <v>1105</v>
      </c>
      <c r="C52" s="7" t="s">
        <v>1106</v>
      </c>
      <c r="D52" s="8"/>
      <c r="E52" s="8" t="s">
        <v>67</v>
      </c>
      <c r="F52" s="8"/>
      <c r="G52" s="7" t="s">
        <v>1107</v>
      </c>
      <c r="H52" s="7" t="s">
        <v>1108</v>
      </c>
      <c r="I52" s="7" t="s">
        <v>71</v>
      </c>
      <c r="J52" s="7" t="s">
        <v>72</v>
      </c>
      <c r="K52" s="7"/>
      <c r="L52" s="7"/>
    </row>
    <row r="53" spans="1:12" ht="23.25" customHeight="1" x14ac:dyDescent="0.2">
      <c r="A53" s="7" t="s">
        <v>951</v>
      </c>
      <c r="B53" s="7" t="s">
        <v>1109</v>
      </c>
      <c r="C53" s="7" t="s">
        <v>1110</v>
      </c>
      <c r="D53" s="8" t="s">
        <v>67</v>
      </c>
      <c r="E53" s="8"/>
      <c r="F53" s="8"/>
      <c r="G53" s="7" t="s">
        <v>1111</v>
      </c>
      <c r="H53" s="7" t="s">
        <v>1112</v>
      </c>
      <c r="I53" s="7" t="s">
        <v>71</v>
      </c>
      <c r="J53" s="7" t="s">
        <v>72</v>
      </c>
      <c r="K53" s="7"/>
      <c r="L53" s="7"/>
    </row>
    <row r="54" spans="1:12" ht="15" customHeight="1" x14ac:dyDescent="0.2">
      <c r="A54" s="7" t="s">
        <v>955</v>
      </c>
      <c r="B54" s="7" t="s">
        <v>1113</v>
      </c>
      <c r="C54" s="7" t="s">
        <v>1114</v>
      </c>
      <c r="D54" s="8" t="s">
        <v>67</v>
      </c>
      <c r="E54" s="8"/>
      <c r="F54" s="8"/>
      <c r="G54" s="7" t="s">
        <v>1115</v>
      </c>
      <c r="H54" s="7" t="s">
        <v>1116</v>
      </c>
      <c r="I54" s="7" t="s">
        <v>71</v>
      </c>
      <c r="J54" s="7" t="s">
        <v>72</v>
      </c>
      <c r="K54" s="7"/>
      <c r="L54" s="7"/>
    </row>
    <row r="55" spans="1:12" ht="23.25" customHeight="1" x14ac:dyDescent="0.2">
      <c r="A55" s="7" t="s">
        <v>1117</v>
      </c>
      <c r="B55" s="7" t="s">
        <v>1118</v>
      </c>
      <c r="C55" s="7" t="s">
        <v>1119</v>
      </c>
      <c r="D55" s="8" t="s">
        <v>67</v>
      </c>
      <c r="E55" s="8"/>
      <c r="F55" s="8"/>
      <c r="G55" s="7" t="s">
        <v>1120</v>
      </c>
      <c r="H55" s="7" t="s">
        <v>1121</v>
      </c>
      <c r="I55" s="7" t="s">
        <v>71</v>
      </c>
      <c r="J55" s="7" t="s">
        <v>72</v>
      </c>
      <c r="K55" s="7"/>
      <c r="L55" s="7"/>
    </row>
    <row r="56" spans="1:12" ht="15" customHeight="1" x14ac:dyDescent="0.2">
      <c r="A56" s="7" t="s">
        <v>1122</v>
      </c>
      <c r="B56" s="7" t="s">
        <v>1123</v>
      </c>
      <c r="C56" s="7" t="s">
        <v>1124</v>
      </c>
      <c r="D56" s="8" t="s">
        <v>67</v>
      </c>
      <c r="E56" s="8"/>
      <c r="F56" s="8"/>
      <c r="G56" s="7" t="s">
        <v>1125</v>
      </c>
      <c r="H56" s="7" t="s">
        <v>1126</v>
      </c>
      <c r="I56" s="7" t="s">
        <v>71</v>
      </c>
      <c r="J56" s="7" t="s">
        <v>72</v>
      </c>
      <c r="K56" s="7"/>
      <c r="L56" s="7"/>
    </row>
    <row r="57" spans="1:12" ht="23.25" customHeight="1" x14ac:dyDescent="0.2">
      <c r="A57" s="7" t="s">
        <v>1127</v>
      </c>
      <c r="B57" s="7" t="s">
        <v>1128</v>
      </c>
      <c r="C57" s="7" t="s">
        <v>1129</v>
      </c>
      <c r="D57" s="8" t="s">
        <v>67</v>
      </c>
      <c r="E57" s="8" t="s">
        <v>67</v>
      </c>
      <c r="F57" s="8" t="s">
        <v>67</v>
      </c>
      <c r="G57" s="7" t="s">
        <v>1130</v>
      </c>
      <c r="H57" s="7" t="s">
        <v>1131</v>
      </c>
      <c r="I57" s="7" t="s">
        <v>71</v>
      </c>
      <c r="J57" s="7" t="s">
        <v>72</v>
      </c>
      <c r="K57" s="7"/>
      <c r="L57" s="7"/>
    </row>
    <row r="58" spans="1:12" ht="23.25" customHeight="1" x14ac:dyDescent="0.2">
      <c r="A58" s="7" t="s">
        <v>1132</v>
      </c>
      <c r="B58" s="7" t="s">
        <v>1133</v>
      </c>
      <c r="C58" s="7" t="s">
        <v>1134</v>
      </c>
      <c r="D58" s="8" t="s">
        <v>67</v>
      </c>
      <c r="E58" s="8" t="s">
        <v>67</v>
      </c>
      <c r="F58" s="8" t="s">
        <v>67</v>
      </c>
      <c r="G58" s="7" t="s">
        <v>1135</v>
      </c>
      <c r="H58" s="7" t="s">
        <v>1136</v>
      </c>
      <c r="I58" s="7" t="s">
        <v>71</v>
      </c>
      <c r="J58" s="7" t="s">
        <v>72</v>
      </c>
      <c r="K58" s="7"/>
      <c r="L58" s="7"/>
    </row>
    <row r="59" spans="1:12" ht="15" customHeight="1" x14ac:dyDescent="0.2">
      <c r="A59" s="7" t="s">
        <v>1137</v>
      </c>
      <c r="B59" s="7" t="s">
        <v>1138</v>
      </c>
      <c r="C59" s="7" t="s">
        <v>1139</v>
      </c>
      <c r="D59" s="8" t="s">
        <v>67</v>
      </c>
      <c r="E59" s="8" t="s">
        <v>67</v>
      </c>
      <c r="F59" s="8" t="s">
        <v>67</v>
      </c>
      <c r="G59" s="7" t="s">
        <v>1140</v>
      </c>
      <c r="H59" s="7" t="s">
        <v>1141</v>
      </c>
      <c r="I59" s="7" t="s">
        <v>71</v>
      </c>
      <c r="J59" s="7" t="s">
        <v>72</v>
      </c>
      <c r="K59" s="7"/>
      <c r="L59" s="7"/>
    </row>
    <row r="60" spans="1:12" ht="23.25" customHeight="1" x14ac:dyDescent="0.2">
      <c r="A60" s="7" t="s">
        <v>1142</v>
      </c>
      <c r="B60" s="7" t="s">
        <v>1143</v>
      </c>
      <c r="C60" s="7" t="s">
        <v>1144</v>
      </c>
      <c r="D60" s="8" t="s">
        <v>67</v>
      </c>
      <c r="E60" s="8" t="s">
        <v>67</v>
      </c>
      <c r="F60" s="8" t="s">
        <v>67</v>
      </c>
      <c r="G60" s="7" t="s">
        <v>1145</v>
      </c>
      <c r="H60" s="7" t="s">
        <v>1146</v>
      </c>
      <c r="I60" s="7" t="s">
        <v>71</v>
      </c>
      <c r="J60" s="7" t="s">
        <v>72</v>
      </c>
      <c r="K60" s="7"/>
      <c r="L60" s="7"/>
    </row>
    <row r="61" spans="1:12" ht="15" customHeight="1" x14ac:dyDescent="0.2">
      <c r="A61" s="7" t="s">
        <v>1147</v>
      </c>
      <c r="B61" s="7" t="s">
        <v>1148</v>
      </c>
      <c r="C61" s="7" t="s">
        <v>1149</v>
      </c>
      <c r="D61" s="8" t="s">
        <v>67</v>
      </c>
      <c r="E61" s="8" t="s">
        <v>67</v>
      </c>
      <c r="F61" s="8" t="s">
        <v>67</v>
      </c>
      <c r="G61" s="7" t="s">
        <v>1150</v>
      </c>
      <c r="H61" s="7" t="s">
        <v>1151</v>
      </c>
      <c r="I61" s="7" t="s">
        <v>71</v>
      </c>
      <c r="J61" s="7" t="s">
        <v>72</v>
      </c>
      <c r="K61" s="7"/>
      <c r="L61" s="7"/>
    </row>
    <row r="62" spans="1:12" ht="23.25" customHeight="1" x14ac:dyDescent="0.2">
      <c r="A62" s="7" t="s">
        <v>1152</v>
      </c>
      <c r="B62" s="7" t="s">
        <v>1153</v>
      </c>
      <c r="C62" s="7" t="s">
        <v>1154</v>
      </c>
      <c r="D62" s="8" t="s">
        <v>67</v>
      </c>
      <c r="E62" s="8" t="s">
        <v>67</v>
      </c>
      <c r="F62" s="8" t="s">
        <v>67</v>
      </c>
      <c r="G62" s="7" t="s">
        <v>1155</v>
      </c>
      <c r="H62" s="7" t="s">
        <v>1156</v>
      </c>
      <c r="I62" s="7" t="s">
        <v>71</v>
      </c>
      <c r="J62" s="7" t="s">
        <v>72</v>
      </c>
      <c r="K62" s="7"/>
      <c r="L62" s="7"/>
    </row>
    <row r="63" spans="1:12" ht="23.25" customHeight="1" x14ac:dyDescent="0.2">
      <c r="A63" s="7" t="s">
        <v>1157</v>
      </c>
      <c r="B63" s="7" t="s">
        <v>1158</v>
      </c>
      <c r="C63" s="7" t="s">
        <v>1159</v>
      </c>
      <c r="D63" s="8" t="s">
        <v>67</v>
      </c>
      <c r="E63" s="8" t="s">
        <v>67</v>
      </c>
      <c r="F63" s="8" t="s">
        <v>67</v>
      </c>
      <c r="G63" s="7" t="s">
        <v>1160</v>
      </c>
      <c r="H63" s="7" t="s">
        <v>1161</v>
      </c>
      <c r="I63" s="7" t="s">
        <v>71</v>
      </c>
      <c r="J63" s="7" t="s">
        <v>72</v>
      </c>
      <c r="K63" s="7"/>
      <c r="L63" s="7"/>
    </row>
    <row r="64" spans="1:12" ht="23.25" customHeight="1" x14ac:dyDescent="0.2">
      <c r="A64" s="7" t="s">
        <v>1162</v>
      </c>
      <c r="B64" s="7" t="s">
        <v>1163</v>
      </c>
      <c r="C64" s="7" t="s">
        <v>1164</v>
      </c>
      <c r="D64" s="8" t="s">
        <v>67</v>
      </c>
      <c r="E64" s="8" t="s">
        <v>67</v>
      </c>
      <c r="F64" s="8" t="s">
        <v>67</v>
      </c>
      <c r="G64" s="7" t="s">
        <v>1165</v>
      </c>
      <c r="H64" s="7" t="s">
        <v>1166</v>
      </c>
      <c r="I64" s="7" t="s">
        <v>71</v>
      </c>
      <c r="J64" s="7" t="s">
        <v>72</v>
      </c>
      <c r="K64" s="7"/>
      <c r="L64" s="7"/>
    </row>
    <row r="65" spans="1:12" ht="23.25" customHeight="1" x14ac:dyDescent="0.2">
      <c r="A65" s="7" t="s">
        <v>1167</v>
      </c>
      <c r="B65" s="7" t="s">
        <v>1168</v>
      </c>
      <c r="C65" s="7" t="s">
        <v>1169</v>
      </c>
      <c r="D65" s="8" t="s">
        <v>67</v>
      </c>
      <c r="E65" s="8" t="s">
        <v>67</v>
      </c>
      <c r="F65" s="8" t="s">
        <v>67</v>
      </c>
      <c r="G65" s="7" t="s">
        <v>1170</v>
      </c>
      <c r="H65" s="7" t="s">
        <v>1171</v>
      </c>
      <c r="I65" s="7" t="s">
        <v>71</v>
      </c>
      <c r="J65" s="7" t="s">
        <v>72</v>
      </c>
      <c r="K65" s="7"/>
      <c r="L65" s="7"/>
    </row>
    <row r="66" spans="1:12" ht="23.25" customHeight="1" x14ac:dyDescent="0.2">
      <c r="A66" s="7" t="s">
        <v>1172</v>
      </c>
      <c r="B66" s="7" t="s">
        <v>1173</v>
      </c>
      <c r="C66" s="7" t="s">
        <v>1174</v>
      </c>
      <c r="D66" s="8" t="s">
        <v>67</v>
      </c>
      <c r="E66" s="8" t="s">
        <v>67</v>
      </c>
      <c r="F66" s="8" t="s">
        <v>67</v>
      </c>
      <c r="G66" s="7" t="s">
        <v>1175</v>
      </c>
      <c r="H66" s="7" t="s">
        <v>1176</v>
      </c>
      <c r="I66" s="7" t="s">
        <v>71</v>
      </c>
      <c r="J66" s="7" t="s">
        <v>72</v>
      </c>
      <c r="K66" s="7"/>
      <c r="L66" s="7"/>
    </row>
    <row r="67" spans="1:12" ht="23.25" customHeight="1" x14ac:dyDescent="0.2">
      <c r="A67" s="7" t="s">
        <v>1177</v>
      </c>
      <c r="B67" s="7" t="s">
        <v>1178</v>
      </c>
      <c r="C67" s="7" t="s">
        <v>1179</v>
      </c>
      <c r="D67" s="8" t="s">
        <v>67</v>
      </c>
      <c r="E67" s="8" t="s">
        <v>67</v>
      </c>
      <c r="F67" s="8" t="s">
        <v>67</v>
      </c>
      <c r="G67" s="7" t="s">
        <v>1180</v>
      </c>
      <c r="H67" s="7" t="s">
        <v>1181</v>
      </c>
      <c r="I67" s="7" t="s">
        <v>71</v>
      </c>
      <c r="J67" s="7" t="s">
        <v>72</v>
      </c>
      <c r="K67" s="7"/>
      <c r="L67" s="7"/>
    </row>
    <row r="68" spans="1:12" ht="23.25" customHeight="1" x14ac:dyDescent="0.2">
      <c r="A68" s="7" t="s">
        <v>1182</v>
      </c>
      <c r="B68" s="7" t="s">
        <v>1183</v>
      </c>
      <c r="C68" s="7" t="s">
        <v>1184</v>
      </c>
      <c r="D68" s="8" t="s">
        <v>67</v>
      </c>
      <c r="E68" s="8" t="s">
        <v>67</v>
      </c>
      <c r="F68" s="8" t="s">
        <v>67</v>
      </c>
      <c r="G68" s="7" t="s">
        <v>1185</v>
      </c>
      <c r="H68" s="7" t="s">
        <v>1186</v>
      </c>
      <c r="I68" s="7" t="s">
        <v>71</v>
      </c>
      <c r="J68" s="7" t="s">
        <v>72</v>
      </c>
      <c r="K68" s="7"/>
      <c r="L68" s="7"/>
    </row>
    <row r="69" spans="1:12" ht="15" customHeight="1" x14ac:dyDescent="0.2">
      <c r="A69" s="7" t="s">
        <v>1187</v>
      </c>
      <c r="B69" s="7" t="s">
        <v>1188</v>
      </c>
      <c r="C69" s="7" t="s">
        <v>1189</v>
      </c>
      <c r="D69" s="8" t="s">
        <v>67</v>
      </c>
      <c r="E69" s="8" t="s">
        <v>67</v>
      </c>
      <c r="F69" s="8" t="s">
        <v>67</v>
      </c>
      <c r="G69" s="7" t="s">
        <v>1190</v>
      </c>
      <c r="H69" s="7" t="s">
        <v>1191</v>
      </c>
      <c r="I69" s="7" t="s">
        <v>71</v>
      </c>
      <c r="J69" s="7" t="s">
        <v>72</v>
      </c>
      <c r="K69" s="7"/>
      <c r="L69" s="7"/>
    </row>
    <row r="70" spans="1:12" ht="15" customHeight="1" x14ac:dyDescent="0.2">
      <c r="A70" s="7" t="s">
        <v>1192</v>
      </c>
      <c r="B70" s="7" t="s">
        <v>1193</v>
      </c>
      <c r="C70" s="7" t="s">
        <v>1194</v>
      </c>
      <c r="D70" s="8"/>
      <c r="E70" s="8" t="s">
        <v>67</v>
      </c>
      <c r="F70" s="8"/>
      <c r="G70" s="7" t="s">
        <v>1195</v>
      </c>
      <c r="H70" s="7" t="s">
        <v>1196</v>
      </c>
      <c r="I70" s="7" t="s">
        <v>71</v>
      </c>
      <c r="J70" s="7" t="s">
        <v>72</v>
      </c>
      <c r="K70" s="7"/>
      <c r="L70" s="7"/>
    </row>
    <row r="71" spans="1:12" ht="23.25" customHeight="1" x14ac:dyDescent="0.2">
      <c r="A71" s="7" t="s">
        <v>1197</v>
      </c>
      <c r="B71" s="7" t="s">
        <v>1198</v>
      </c>
      <c r="C71" s="7" t="s">
        <v>1199</v>
      </c>
      <c r="D71" s="8"/>
      <c r="E71" s="8" t="s">
        <v>67</v>
      </c>
      <c r="F71" s="8"/>
      <c r="G71" s="7" t="s">
        <v>1200</v>
      </c>
      <c r="H71" s="7" t="s">
        <v>1201</v>
      </c>
      <c r="I71" s="7" t="s">
        <v>71</v>
      </c>
      <c r="J71" s="7" t="s">
        <v>72</v>
      </c>
      <c r="K71" s="7"/>
      <c r="L71" s="7"/>
    </row>
    <row r="72" spans="1:12" ht="15" customHeight="1" x14ac:dyDescent="0.2">
      <c r="A72" s="7" t="s">
        <v>1202</v>
      </c>
      <c r="B72" s="7" t="s">
        <v>1203</v>
      </c>
      <c r="C72" s="7" t="s">
        <v>1204</v>
      </c>
      <c r="D72" s="8"/>
      <c r="E72" s="8"/>
      <c r="F72" s="8" t="s">
        <v>67</v>
      </c>
      <c r="G72" s="7" t="s">
        <v>1205</v>
      </c>
      <c r="H72" s="7" t="s">
        <v>1206</v>
      </c>
      <c r="I72" s="7" t="s">
        <v>71</v>
      </c>
      <c r="J72" s="7" t="s">
        <v>72</v>
      </c>
      <c r="K72" s="7"/>
      <c r="L72" s="7"/>
    </row>
    <row r="73" spans="1:12" ht="23.25" customHeight="1" x14ac:dyDescent="0.2">
      <c r="A73" s="7" t="s">
        <v>1207</v>
      </c>
      <c r="B73" s="7" t="s">
        <v>1208</v>
      </c>
      <c r="C73" s="7" t="s">
        <v>1209</v>
      </c>
      <c r="D73" s="8"/>
      <c r="E73" s="8"/>
      <c r="F73" s="8" t="s">
        <v>67</v>
      </c>
      <c r="G73" s="7" t="s">
        <v>1210</v>
      </c>
      <c r="H73" s="7" t="s">
        <v>1211</v>
      </c>
      <c r="I73" s="7" t="s">
        <v>71</v>
      </c>
      <c r="J73" s="7" t="s">
        <v>72</v>
      </c>
      <c r="K73" s="7"/>
      <c r="L73" s="7"/>
    </row>
    <row r="74" spans="1:12" ht="23.25" customHeight="1" x14ac:dyDescent="0.2">
      <c r="A74" s="7" t="s">
        <v>1212</v>
      </c>
      <c r="B74" s="7" t="s">
        <v>1213</v>
      </c>
      <c r="C74" s="7" t="s">
        <v>1214</v>
      </c>
      <c r="D74" s="8"/>
      <c r="E74" s="8"/>
      <c r="F74" s="8"/>
      <c r="G74" s="7" t="s">
        <v>552</v>
      </c>
      <c r="H74" s="7" t="s">
        <v>1215</v>
      </c>
      <c r="I74" s="7" t="s">
        <v>71</v>
      </c>
      <c r="J74" s="7" t="s">
        <v>72</v>
      </c>
      <c r="K74" s="7"/>
      <c r="L74" s="7"/>
    </row>
    <row r="75" spans="1:12" ht="15" customHeight="1" x14ac:dyDescent="0.2">
      <c r="A75" s="7" t="s">
        <v>1216</v>
      </c>
      <c r="B75" s="7" t="s">
        <v>805</v>
      </c>
      <c r="C75" s="7" t="s">
        <v>1217</v>
      </c>
      <c r="D75" s="8" t="s">
        <v>67</v>
      </c>
      <c r="E75" s="8"/>
      <c r="F75" s="8"/>
      <c r="G75" s="7" t="s">
        <v>1218</v>
      </c>
      <c r="H75" s="7" t="s">
        <v>1219</v>
      </c>
      <c r="I75" s="7" t="s">
        <v>71</v>
      </c>
      <c r="J75" s="7" t="s">
        <v>72</v>
      </c>
      <c r="K75" s="7"/>
      <c r="L75" s="7"/>
    </row>
    <row r="76" spans="1:12" ht="23.25" customHeight="1" x14ac:dyDescent="0.2">
      <c r="A76" s="7" t="s">
        <v>1220</v>
      </c>
      <c r="B76" s="7" t="s">
        <v>1221</v>
      </c>
      <c r="C76" s="7" t="s">
        <v>1222</v>
      </c>
      <c r="D76" s="8" t="s">
        <v>67</v>
      </c>
      <c r="E76" s="8" t="s">
        <v>67</v>
      </c>
      <c r="F76" s="8"/>
      <c r="G76" s="7" t="s">
        <v>1223</v>
      </c>
      <c r="H76" s="7" t="s">
        <v>1224</v>
      </c>
      <c r="I76" s="7" t="s">
        <v>71</v>
      </c>
      <c r="J76" s="7" t="s">
        <v>72</v>
      </c>
      <c r="K76" s="7"/>
      <c r="L76" s="7"/>
    </row>
    <row r="77" spans="1:12" ht="23.25" customHeight="1" x14ac:dyDescent="0.2">
      <c r="A77" s="7" t="s">
        <v>1225</v>
      </c>
      <c r="B77" s="7" t="s">
        <v>1226</v>
      </c>
      <c r="C77" s="7" t="s">
        <v>1227</v>
      </c>
      <c r="D77" s="8" t="s">
        <v>67</v>
      </c>
      <c r="E77" s="8"/>
      <c r="F77" s="8"/>
      <c r="G77" s="7" t="s">
        <v>1228</v>
      </c>
      <c r="H77" s="7" t="s">
        <v>1229</v>
      </c>
      <c r="I77" s="7" t="s">
        <v>71</v>
      </c>
      <c r="J77" s="7" t="s">
        <v>72</v>
      </c>
      <c r="K77" s="7"/>
      <c r="L77" s="7"/>
    </row>
    <row r="78" spans="1:12" ht="23.25" customHeight="1" x14ac:dyDescent="0.2">
      <c r="A78" s="7" t="s">
        <v>1230</v>
      </c>
      <c r="B78" s="7" t="s">
        <v>1231</v>
      </c>
      <c r="C78" s="7" t="s">
        <v>1232</v>
      </c>
      <c r="D78" s="8"/>
      <c r="E78" s="8"/>
      <c r="F78" s="8"/>
      <c r="G78" s="7" t="s">
        <v>552</v>
      </c>
      <c r="H78" s="7" t="s">
        <v>1233</v>
      </c>
      <c r="I78" s="7" t="s">
        <v>71</v>
      </c>
      <c r="J78" s="7" t="s">
        <v>72</v>
      </c>
      <c r="K78" s="7"/>
      <c r="L78" s="7"/>
    </row>
    <row r="79" spans="1:12" ht="23.25" customHeight="1" x14ac:dyDescent="0.2">
      <c r="A79" s="7" t="s">
        <v>1234</v>
      </c>
      <c r="B79" s="7" t="s">
        <v>1235</v>
      </c>
      <c r="C79" s="7" t="s">
        <v>1236</v>
      </c>
      <c r="D79" s="8"/>
      <c r="E79" s="8"/>
      <c r="F79" s="8"/>
      <c r="G79" s="7" t="s">
        <v>552</v>
      </c>
      <c r="H79" s="7" t="s">
        <v>1237</v>
      </c>
      <c r="I79" s="7" t="s">
        <v>71</v>
      </c>
      <c r="J79" s="7" t="s">
        <v>72</v>
      </c>
      <c r="K79" s="7"/>
      <c r="L79" s="7"/>
    </row>
    <row r="80" spans="1:12" ht="23.25" customHeight="1" x14ac:dyDescent="0.2">
      <c r="A80" s="7" t="s">
        <v>1238</v>
      </c>
      <c r="B80" s="7" t="s">
        <v>1239</v>
      </c>
      <c r="C80" s="7" t="s">
        <v>1240</v>
      </c>
      <c r="D80" s="8"/>
      <c r="E80" s="8" t="s">
        <v>67</v>
      </c>
      <c r="F80" s="8"/>
      <c r="G80" s="7" t="s">
        <v>1241</v>
      </c>
      <c r="H80" s="7" t="s">
        <v>1242</v>
      </c>
      <c r="I80" s="7" t="s">
        <v>71</v>
      </c>
      <c r="J80" s="7" t="s">
        <v>72</v>
      </c>
      <c r="K80" s="7"/>
      <c r="L80" s="7"/>
    </row>
    <row r="81" spans="1:12" ht="15" customHeight="1" x14ac:dyDescent="0.2">
      <c r="A81" s="6" t="s">
        <v>1243</v>
      </c>
      <c r="B81" s="6" t="s">
        <v>1244</v>
      </c>
      <c r="C81" s="6"/>
      <c r="D81" s="6"/>
      <c r="E81" s="6"/>
      <c r="F81" s="6"/>
      <c r="G81" s="6"/>
      <c r="H81" s="6"/>
      <c r="I81" s="6"/>
      <c r="J81" s="6"/>
      <c r="K81" s="6"/>
      <c r="L81" s="6"/>
    </row>
    <row r="82" spans="1:12" ht="23.25" customHeight="1" x14ac:dyDescent="0.2">
      <c r="A82" s="7" t="s">
        <v>961</v>
      </c>
      <c r="B82" s="7" t="s">
        <v>1245</v>
      </c>
      <c r="C82" s="7" t="s">
        <v>1246</v>
      </c>
      <c r="D82" s="8"/>
      <c r="E82" s="8"/>
      <c r="F82" s="8"/>
      <c r="G82" s="7" t="s">
        <v>552</v>
      </c>
      <c r="H82" s="7" t="s">
        <v>1247</v>
      </c>
      <c r="I82" s="7" t="s">
        <v>71</v>
      </c>
      <c r="J82" s="7" t="s">
        <v>72</v>
      </c>
      <c r="K82" s="7"/>
      <c r="L82" s="7"/>
    </row>
    <row r="83" spans="1:12" ht="23.25" customHeight="1" x14ac:dyDescent="0.2">
      <c r="A83" s="7" t="s">
        <v>225</v>
      </c>
      <c r="B83" s="7" t="s">
        <v>1248</v>
      </c>
      <c r="C83" s="7" t="s">
        <v>1249</v>
      </c>
      <c r="D83" s="8"/>
      <c r="E83" s="8"/>
      <c r="F83" s="8"/>
      <c r="G83" s="7" t="s">
        <v>552</v>
      </c>
      <c r="H83" s="7" t="s">
        <v>1250</v>
      </c>
      <c r="I83" s="7" t="s">
        <v>71</v>
      </c>
      <c r="J83" s="7" t="s">
        <v>72</v>
      </c>
      <c r="K83" s="7"/>
      <c r="L83" s="7"/>
    </row>
    <row r="84" spans="1:12" ht="23.25" customHeight="1" x14ac:dyDescent="0.2">
      <c r="A84" s="7" t="s">
        <v>230</v>
      </c>
      <c r="B84" s="7" t="s">
        <v>1251</v>
      </c>
      <c r="C84" s="7" t="s">
        <v>1252</v>
      </c>
      <c r="D84" s="8"/>
      <c r="E84" s="8"/>
      <c r="F84" s="8"/>
      <c r="G84" s="7" t="s">
        <v>552</v>
      </c>
      <c r="H84" s="7" t="s">
        <v>1253</v>
      </c>
      <c r="I84" s="7" t="s">
        <v>71</v>
      </c>
      <c r="J84" s="7" t="s">
        <v>72</v>
      </c>
      <c r="K84" s="7"/>
      <c r="L84" s="7"/>
    </row>
    <row r="85" spans="1:12" ht="23.25" customHeight="1" x14ac:dyDescent="0.2">
      <c r="A85" s="7" t="s">
        <v>972</v>
      </c>
      <c r="B85" s="7" t="s">
        <v>1254</v>
      </c>
      <c r="C85" s="7" t="s">
        <v>1255</v>
      </c>
      <c r="D85" s="8"/>
      <c r="E85" s="8"/>
      <c r="F85" s="8"/>
      <c r="G85" s="7" t="s">
        <v>552</v>
      </c>
      <c r="H85" s="7" t="s">
        <v>1256</v>
      </c>
      <c r="I85" s="7" t="s">
        <v>71</v>
      </c>
      <c r="J85" s="7" t="s">
        <v>72</v>
      </c>
      <c r="K85" s="7"/>
      <c r="L85" s="7"/>
    </row>
    <row r="86" spans="1:12" ht="23.25" customHeight="1" x14ac:dyDescent="0.2">
      <c r="A86" s="7" t="s">
        <v>976</v>
      </c>
      <c r="B86" s="7" t="s">
        <v>1257</v>
      </c>
      <c r="C86" s="7" t="s">
        <v>1258</v>
      </c>
      <c r="D86" s="8" t="s">
        <v>67</v>
      </c>
      <c r="E86" s="8"/>
      <c r="F86" s="8"/>
      <c r="G86" s="7" t="s">
        <v>1259</v>
      </c>
      <c r="H86" s="7" t="s">
        <v>1260</v>
      </c>
      <c r="I86" s="7" t="s">
        <v>71</v>
      </c>
      <c r="J86" s="7" t="s">
        <v>72</v>
      </c>
      <c r="K86" s="7"/>
      <c r="L86" s="7"/>
    </row>
    <row r="87" spans="1:12" ht="15" customHeight="1" x14ac:dyDescent="0.2">
      <c r="A87" s="7" t="s">
        <v>1261</v>
      </c>
      <c r="B87" s="7" t="s">
        <v>1262</v>
      </c>
      <c r="C87" s="7" t="s">
        <v>1263</v>
      </c>
      <c r="D87" s="8" t="s">
        <v>67</v>
      </c>
      <c r="E87" s="8"/>
      <c r="F87" s="8"/>
      <c r="G87" s="7" t="s">
        <v>1264</v>
      </c>
      <c r="H87" s="7" t="s">
        <v>1265</v>
      </c>
      <c r="I87" s="7" t="s">
        <v>71</v>
      </c>
      <c r="J87" s="7" t="s">
        <v>72</v>
      </c>
      <c r="K87" s="7"/>
      <c r="L87" s="7"/>
    </row>
    <row r="88" spans="1:12" ht="15" customHeight="1" x14ac:dyDescent="0.2">
      <c r="A88" s="7" t="s">
        <v>1266</v>
      </c>
      <c r="B88" s="7" t="s">
        <v>1267</v>
      </c>
      <c r="C88" s="7" t="s">
        <v>1268</v>
      </c>
      <c r="D88" s="8" t="s">
        <v>67</v>
      </c>
      <c r="E88" s="8" t="s">
        <v>67</v>
      </c>
      <c r="F88" s="8" t="s">
        <v>67</v>
      </c>
      <c r="G88" s="7" t="s">
        <v>1269</v>
      </c>
      <c r="H88" s="7" t="s">
        <v>1270</v>
      </c>
      <c r="I88" s="7" t="s">
        <v>71</v>
      </c>
      <c r="J88" s="7" t="s">
        <v>72</v>
      </c>
      <c r="K88" s="7"/>
      <c r="L88" s="7"/>
    </row>
    <row r="89" spans="1:12" ht="23.25" customHeight="1" x14ac:dyDescent="0.2">
      <c r="A89" s="7" t="s">
        <v>1271</v>
      </c>
      <c r="B89" s="7" t="s">
        <v>1272</v>
      </c>
      <c r="C89" s="7" t="s">
        <v>1273</v>
      </c>
      <c r="D89" s="8"/>
      <c r="E89" s="8" t="s">
        <v>67</v>
      </c>
      <c r="F89" s="8"/>
      <c r="G89" s="7" t="s">
        <v>1274</v>
      </c>
      <c r="H89" s="7" t="s">
        <v>1275</v>
      </c>
      <c r="I89" s="7" t="s">
        <v>71</v>
      </c>
      <c r="J89" s="7" t="s">
        <v>72</v>
      </c>
      <c r="K89" s="7"/>
      <c r="L89" s="7"/>
    </row>
    <row r="90" spans="1:12" ht="15" customHeight="1" x14ac:dyDescent="0.2">
      <c r="A90" s="6" t="s">
        <v>1276</v>
      </c>
      <c r="B90" s="6" t="s">
        <v>1277</v>
      </c>
      <c r="C90" s="6"/>
      <c r="D90" s="6"/>
      <c r="E90" s="6"/>
      <c r="F90" s="6"/>
      <c r="G90" s="6"/>
      <c r="H90" s="6"/>
      <c r="I90" s="6"/>
      <c r="J90" s="6"/>
      <c r="K90" s="6"/>
      <c r="L90" s="6"/>
    </row>
    <row r="91" spans="1:12" ht="23.25" customHeight="1" x14ac:dyDescent="0.2">
      <c r="A91" s="7" t="s">
        <v>235</v>
      </c>
      <c r="B91" s="7" t="s">
        <v>1278</v>
      </c>
      <c r="C91" s="7" t="s">
        <v>1279</v>
      </c>
      <c r="D91" s="8" t="s">
        <v>67</v>
      </c>
      <c r="E91" s="8"/>
      <c r="F91" s="8" t="s">
        <v>67</v>
      </c>
      <c r="G91" s="7" t="s">
        <v>1280</v>
      </c>
      <c r="H91" s="7" t="s">
        <v>1281</v>
      </c>
      <c r="I91" s="7" t="s">
        <v>71</v>
      </c>
      <c r="J91" s="7" t="s">
        <v>72</v>
      </c>
      <c r="K91" s="7"/>
      <c r="L91" s="7"/>
    </row>
    <row r="92" spans="1:12" ht="15" customHeight="1" x14ac:dyDescent="0.2">
      <c r="A92" s="7" t="s">
        <v>241</v>
      </c>
      <c r="B92" s="7" t="s">
        <v>1282</v>
      </c>
      <c r="C92" s="7" t="s">
        <v>1283</v>
      </c>
      <c r="D92" s="8" t="s">
        <v>67</v>
      </c>
      <c r="E92" s="8"/>
      <c r="F92" s="8" t="s">
        <v>67</v>
      </c>
      <c r="G92" s="7" t="s">
        <v>1284</v>
      </c>
      <c r="H92" s="7" t="s">
        <v>1285</v>
      </c>
      <c r="I92" s="7" t="s">
        <v>71</v>
      </c>
      <c r="J92" s="7" t="s">
        <v>72</v>
      </c>
      <c r="K92" s="7"/>
      <c r="L92" s="7"/>
    </row>
    <row r="93" spans="1:12" ht="15" customHeight="1" x14ac:dyDescent="0.2">
      <c r="A93" s="7" t="s">
        <v>246</v>
      </c>
      <c r="B93" s="7" t="s">
        <v>1286</v>
      </c>
      <c r="C93" s="7" t="s">
        <v>1287</v>
      </c>
      <c r="D93" s="8" t="s">
        <v>67</v>
      </c>
      <c r="E93" s="8"/>
      <c r="F93" s="8" t="s">
        <v>67</v>
      </c>
      <c r="G93" s="7" t="s">
        <v>1288</v>
      </c>
      <c r="H93" s="7" t="s">
        <v>1289</v>
      </c>
      <c r="I93" s="7" t="s">
        <v>71</v>
      </c>
      <c r="J93" s="7" t="s">
        <v>72</v>
      </c>
      <c r="K93" s="7"/>
      <c r="L93" s="7"/>
    </row>
    <row r="94" spans="1:12" ht="15" customHeight="1" x14ac:dyDescent="0.2">
      <c r="A94" s="7" t="s">
        <v>251</v>
      </c>
      <c r="B94" s="7" t="s">
        <v>1290</v>
      </c>
      <c r="C94" s="7" t="s">
        <v>1291</v>
      </c>
      <c r="D94" s="8" t="s">
        <v>67</v>
      </c>
      <c r="E94" s="8"/>
      <c r="F94" s="8"/>
      <c r="G94" s="7" t="s">
        <v>1292</v>
      </c>
      <c r="H94" s="7" t="s">
        <v>1293</v>
      </c>
      <c r="I94" s="7" t="s">
        <v>71</v>
      </c>
      <c r="J94" s="7" t="s">
        <v>72</v>
      </c>
      <c r="K94" s="7"/>
      <c r="L94" s="7"/>
    </row>
    <row r="95" spans="1:12" ht="23.25" customHeight="1" x14ac:dyDescent="0.2">
      <c r="A95" s="7" t="s">
        <v>1294</v>
      </c>
      <c r="B95" s="7" t="s">
        <v>1295</v>
      </c>
      <c r="C95" s="7" t="s">
        <v>1296</v>
      </c>
      <c r="D95" s="8"/>
      <c r="E95" s="8"/>
      <c r="F95" s="8" t="s">
        <v>67</v>
      </c>
      <c r="G95" s="7" t="s">
        <v>1297</v>
      </c>
      <c r="H95" s="7" t="s">
        <v>1298</v>
      </c>
      <c r="I95" s="7" t="s">
        <v>71</v>
      </c>
      <c r="J95" s="7" t="s">
        <v>72</v>
      </c>
      <c r="K95" s="7"/>
      <c r="L95" s="7"/>
    </row>
    <row r="96" spans="1:12" ht="15" customHeight="1" x14ac:dyDescent="0.2">
      <c r="A96" s="7" t="s">
        <v>1299</v>
      </c>
      <c r="B96" s="7" t="s">
        <v>1300</v>
      </c>
      <c r="C96" s="7" t="s">
        <v>1301</v>
      </c>
      <c r="D96" s="8" t="s">
        <v>67</v>
      </c>
      <c r="E96" s="8"/>
      <c r="F96" s="8"/>
      <c r="G96" s="7" t="s">
        <v>1302</v>
      </c>
      <c r="H96" s="7" t="s">
        <v>1303</v>
      </c>
      <c r="I96" s="7" t="s">
        <v>71</v>
      </c>
      <c r="J96" s="7" t="s">
        <v>72</v>
      </c>
      <c r="K96" s="7"/>
      <c r="L96" s="7"/>
    </row>
    <row r="97" spans="1:12" ht="15" customHeight="1" x14ac:dyDescent="0.2">
      <c r="A97" s="7" t="s">
        <v>1304</v>
      </c>
      <c r="B97" s="7" t="s">
        <v>1305</v>
      </c>
      <c r="C97" s="7" t="s">
        <v>1306</v>
      </c>
      <c r="D97" s="8" t="s">
        <v>67</v>
      </c>
      <c r="E97" s="8"/>
      <c r="F97" s="8"/>
      <c r="G97" s="7" t="s">
        <v>1307</v>
      </c>
      <c r="H97" s="7" t="s">
        <v>1308</v>
      </c>
      <c r="I97" s="7" t="s">
        <v>71</v>
      </c>
      <c r="J97" s="7" t="s">
        <v>72</v>
      </c>
      <c r="K97" s="7"/>
      <c r="L97" s="7"/>
    </row>
    <row r="98" spans="1:12" ht="23.25" customHeight="1" x14ac:dyDescent="0.2">
      <c r="A98" s="7" t="s">
        <v>1309</v>
      </c>
      <c r="B98" s="7" t="s">
        <v>1310</v>
      </c>
      <c r="C98" s="7" t="s">
        <v>1311</v>
      </c>
      <c r="D98" s="8" t="s">
        <v>67</v>
      </c>
      <c r="E98" s="8"/>
      <c r="F98" s="8" t="s">
        <v>67</v>
      </c>
      <c r="G98" s="7" t="s">
        <v>1312</v>
      </c>
      <c r="H98" s="7" t="s">
        <v>1313</v>
      </c>
      <c r="I98" s="7" t="s">
        <v>71</v>
      </c>
      <c r="J98" s="7" t="s">
        <v>72</v>
      </c>
      <c r="K98" s="7"/>
      <c r="L98" s="7"/>
    </row>
    <row r="99" spans="1:12" ht="15" customHeight="1" x14ac:dyDescent="0.2">
      <c r="A99" s="7" t="s">
        <v>1314</v>
      </c>
      <c r="B99" s="7" t="s">
        <v>1315</v>
      </c>
      <c r="C99" s="7" t="s">
        <v>1316</v>
      </c>
      <c r="D99" s="8" t="s">
        <v>67</v>
      </c>
      <c r="E99" s="8"/>
      <c r="F99" s="8" t="s">
        <v>67</v>
      </c>
      <c r="G99" s="7" t="s">
        <v>1317</v>
      </c>
      <c r="H99" s="7" t="s">
        <v>1318</v>
      </c>
      <c r="I99" s="7" t="s">
        <v>71</v>
      </c>
      <c r="J99" s="7" t="s">
        <v>72</v>
      </c>
      <c r="K99" s="7"/>
      <c r="L99" s="7"/>
    </row>
    <row r="100" spans="1:12" ht="23.25" customHeight="1" x14ac:dyDescent="0.2">
      <c r="A100" s="7" t="s">
        <v>1319</v>
      </c>
      <c r="B100" s="7" t="s">
        <v>1320</v>
      </c>
      <c r="C100" s="7" t="s">
        <v>1321</v>
      </c>
      <c r="D100" s="8" t="s">
        <v>67</v>
      </c>
      <c r="E100" s="8" t="s">
        <v>67</v>
      </c>
      <c r="F100" s="8"/>
      <c r="G100" s="7" t="s">
        <v>1322</v>
      </c>
      <c r="H100" s="7" t="s">
        <v>1323</v>
      </c>
      <c r="I100" s="7" t="s">
        <v>71</v>
      </c>
      <c r="J100" s="7" t="s">
        <v>72</v>
      </c>
      <c r="K100" s="7"/>
      <c r="L100" s="7"/>
    </row>
    <row r="101" spans="1:12" ht="15" customHeight="1" x14ac:dyDescent="0.2">
      <c r="A101" s="7" t="s">
        <v>1324</v>
      </c>
      <c r="B101" s="7" t="s">
        <v>1325</v>
      </c>
      <c r="C101" s="7" t="s">
        <v>1326</v>
      </c>
      <c r="D101" s="8"/>
      <c r="E101" s="8"/>
      <c r="F101" s="8" t="s">
        <v>67</v>
      </c>
      <c r="G101" s="7" t="s">
        <v>1327</v>
      </c>
      <c r="H101" s="7" t="s">
        <v>1328</v>
      </c>
      <c r="I101" s="7" t="s">
        <v>71</v>
      </c>
      <c r="J101" s="7" t="s">
        <v>72</v>
      </c>
      <c r="K101" s="7"/>
      <c r="L101" s="7"/>
    </row>
    <row r="102" spans="1:12" ht="23.25" customHeight="1" x14ac:dyDescent="0.2">
      <c r="A102" s="7" t="s">
        <v>1329</v>
      </c>
      <c r="B102" s="7" t="s">
        <v>1330</v>
      </c>
      <c r="C102" s="7" t="s">
        <v>1331</v>
      </c>
      <c r="D102" s="8" t="s">
        <v>67</v>
      </c>
      <c r="E102" s="8"/>
      <c r="F102" s="8" t="s">
        <v>67</v>
      </c>
      <c r="G102" s="7" t="s">
        <v>1332</v>
      </c>
      <c r="H102" s="7" t="s">
        <v>1333</v>
      </c>
      <c r="I102" s="7" t="s">
        <v>71</v>
      </c>
      <c r="J102" s="7" t="s">
        <v>72</v>
      </c>
      <c r="K102" s="7"/>
      <c r="L102" s="7"/>
    </row>
    <row r="103" spans="1:12" ht="23.25" customHeight="1" x14ac:dyDescent="0.2">
      <c r="A103" s="7" t="s">
        <v>1334</v>
      </c>
      <c r="B103" s="7" t="s">
        <v>1335</v>
      </c>
      <c r="C103" s="7" t="s">
        <v>1336</v>
      </c>
      <c r="D103" s="8"/>
      <c r="E103" s="8"/>
      <c r="F103" s="8" t="s">
        <v>67</v>
      </c>
      <c r="G103" s="7" t="s">
        <v>1337</v>
      </c>
      <c r="H103" s="7" t="s">
        <v>1338</v>
      </c>
      <c r="I103" s="7" t="s">
        <v>71</v>
      </c>
      <c r="J103" s="7" t="s">
        <v>72</v>
      </c>
      <c r="K103" s="7"/>
      <c r="L103" s="7"/>
    </row>
    <row r="104" spans="1:12" ht="23.25" customHeight="1" x14ac:dyDescent="0.2">
      <c r="A104" s="7" t="s">
        <v>1339</v>
      </c>
      <c r="B104" s="7" t="s">
        <v>1340</v>
      </c>
      <c r="C104" s="7" t="s">
        <v>1341</v>
      </c>
      <c r="D104" s="8" t="s">
        <v>67</v>
      </c>
      <c r="E104" s="8"/>
      <c r="F104" s="8"/>
      <c r="G104" s="7" t="s">
        <v>1342</v>
      </c>
      <c r="H104" s="7" t="s">
        <v>1343</v>
      </c>
      <c r="I104" s="7" t="s">
        <v>71</v>
      </c>
      <c r="J104" s="7" t="s">
        <v>72</v>
      </c>
      <c r="K104" s="7"/>
      <c r="L104" s="7"/>
    </row>
    <row r="105" spans="1:12" ht="15" customHeight="1" x14ac:dyDescent="0.2">
      <c r="A105" s="6" t="s">
        <v>1344</v>
      </c>
      <c r="B105" s="6" t="s">
        <v>1345</v>
      </c>
      <c r="C105" s="6"/>
      <c r="D105" s="6"/>
      <c r="E105" s="6"/>
      <c r="F105" s="6"/>
      <c r="G105" s="6"/>
      <c r="H105" s="6"/>
      <c r="I105" s="6"/>
      <c r="J105" s="6"/>
      <c r="K105" s="6"/>
      <c r="L105" s="6"/>
    </row>
    <row r="106" spans="1:12" ht="23.25" customHeight="1" x14ac:dyDescent="0.2">
      <c r="A106" s="7" t="s">
        <v>265</v>
      </c>
      <c r="B106" s="7" t="s">
        <v>1346</v>
      </c>
      <c r="C106" s="7" t="s">
        <v>1347</v>
      </c>
      <c r="D106" s="8" t="s">
        <v>67</v>
      </c>
      <c r="E106" s="8" t="s">
        <v>67</v>
      </c>
      <c r="F106" s="8" t="s">
        <v>67</v>
      </c>
      <c r="G106" s="7" t="s">
        <v>1348</v>
      </c>
      <c r="H106" s="7" t="s">
        <v>1349</v>
      </c>
      <c r="I106" s="7" t="s">
        <v>71</v>
      </c>
      <c r="J106" s="7" t="s">
        <v>72</v>
      </c>
      <c r="K106" s="7"/>
      <c r="L106" s="7"/>
    </row>
    <row r="107" spans="1:12" ht="23.25" customHeight="1" x14ac:dyDescent="0.2">
      <c r="A107" s="7" t="s">
        <v>84</v>
      </c>
      <c r="B107" s="7" t="s">
        <v>1350</v>
      </c>
      <c r="C107" s="7" t="s">
        <v>1351</v>
      </c>
      <c r="D107" s="8" t="s">
        <v>67</v>
      </c>
      <c r="E107" s="8" t="s">
        <v>67</v>
      </c>
      <c r="F107" s="8" t="s">
        <v>67</v>
      </c>
      <c r="G107" s="7" t="s">
        <v>1352</v>
      </c>
      <c r="H107" s="7" t="s">
        <v>1353</v>
      </c>
      <c r="I107" s="7" t="s">
        <v>71</v>
      </c>
      <c r="J107" s="7" t="s">
        <v>72</v>
      </c>
      <c r="K107" s="7"/>
      <c r="L107" s="7"/>
    </row>
    <row r="108" spans="1:12" ht="15" customHeight="1" x14ac:dyDescent="0.2">
      <c r="A108" s="7" t="s">
        <v>88</v>
      </c>
      <c r="B108" s="7" t="s">
        <v>1354</v>
      </c>
      <c r="C108" s="7" t="s">
        <v>1355</v>
      </c>
      <c r="D108" s="8" t="s">
        <v>67</v>
      </c>
      <c r="E108" s="8"/>
      <c r="F108" s="8"/>
      <c r="G108" s="7" t="s">
        <v>1356</v>
      </c>
      <c r="H108" s="7" t="s">
        <v>1357</v>
      </c>
      <c r="I108" s="7" t="s">
        <v>71</v>
      </c>
      <c r="J108" s="7" t="s">
        <v>72</v>
      </c>
      <c r="K108" s="7"/>
      <c r="L108" s="7"/>
    </row>
    <row r="109" spans="1:12" ht="23.25" customHeight="1" x14ac:dyDescent="0.2">
      <c r="A109" s="7" t="s">
        <v>271</v>
      </c>
      <c r="B109" s="7" t="s">
        <v>1358</v>
      </c>
      <c r="C109" s="7" t="s">
        <v>1359</v>
      </c>
      <c r="D109" s="8" t="s">
        <v>67</v>
      </c>
      <c r="E109" s="8" t="s">
        <v>67</v>
      </c>
      <c r="F109" s="8"/>
      <c r="G109" s="7" t="s">
        <v>1360</v>
      </c>
      <c r="H109" s="7" t="s">
        <v>1361</v>
      </c>
      <c r="I109" s="7" t="s">
        <v>71</v>
      </c>
      <c r="J109" s="7" t="s">
        <v>72</v>
      </c>
      <c r="K109" s="7"/>
      <c r="L109" s="7"/>
    </row>
    <row r="110" spans="1:12" ht="23.25" customHeight="1" x14ac:dyDescent="0.2">
      <c r="A110" s="7" t="s">
        <v>1362</v>
      </c>
      <c r="B110" s="7" t="s">
        <v>1363</v>
      </c>
      <c r="C110" s="7" t="s">
        <v>1364</v>
      </c>
      <c r="D110" s="8" t="s">
        <v>67</v>
      </c>
      <c r="E110" s="8" t="s">
        <v>67</v>
      </c>
      <c r="F110" s="8" t="s">
        <v>67</v>
      </c>
      <c r="G110" s="7" t="s">
        <v>1365</v>
      </c>
      <c r="H110" s="7" t="s">
        <v>1366</v>
      </c>
      <c r="I110" s="7" t="s">
        <v>71</v>
      </c>
      <c r="J110" s="7" t="s">
        <v>72</v>
      </c>
      <c r="K110" s="7"/>
      <c r="L110" s="7"/>
    </row>
    <row r="111" spans="1:12" ht="15" customHeight="1" x14ac:dyDescent="0.2">
      <c r="A111" s="7" t="s">
        <v>1367</v>
      </c>
      <c r="B111" s="7" t="s">
        <v>1368</v>
      </c>
      <c r="C111" s="7" t="s">
        <v>1369</v>
      </c>
      <c r="D111" s="8"/>
      <c r="E111" s="8"/>
      <c r="F111" s="8" t="s">
        <v>67</v>
      </c>
      <c r="G111" s="7" t="s">
        <v>1370</v>
      </c>
      <c r="H111" s="7" t="s">
        <v>1371</v>
      </c>
      <c r="I111" s="7" t="s">
        <v>71</v>
      </c>
      <c r="J111" s="7" t="s">
        <v>72</v>
      </c>
      <c r="K111" s="7"/>
      <c r="L111" s="7"/>
    </row>
    <row r="112" spans="1:12" ht="15" customHeight="1" x14ac:dyDescent="0.2">
      <c r="A112" s="7" t="s">
        <v>1372</v>
      </c>
      <c r="B112" s="7" t="s">
        <v>1373</v>
      </c>
      <c r="C112" s="7" t="s">
        <v>1374</v>
      </c>
      <c r="D112" s="8"/>
      <c r="E112" s="8" t="s">
        <v>67</v>
      </c>
      <c r="F112" s="8" t="s">
        <v>67</v>
      </c>
      <c r="G112" s="7" t="s">
        <v>1375</v>
      </c>
      <c r="H112" s="7" t="s">
        <v>1376</v>
      </c>
      <c r="I112" s="7" t="s">
        <v>71</v>
      </c>
      <c r="J112" s="7" t="s">
        <v>72</v>
      </c>
      <c r="K112" s="7"/>
      <c r="L112" s="7"/>
    </row>
    <row r="113" spans="1:12" ht="23.25" customHeight="1" x14ac:dyDescent="0.2">
      <c r="A113" s="7" t="s">
        <v>1377</v>
      </c>
      <c r="B113" s="7" t="s">
        <v>1378</v>
      </c>
      <c r="C113" s="7" t="s">
        <v>1379</v>
      </c>
      <c r="D113" s="8" t="s">
        <v>67</v>
      </c>
      <c r="E113" s="8" t="s">
        <v>67</v>
      </c>
      <c r="F113" s="8" t="s">
        <v>67</v>
      </c>
      <c r="G113" s="7" t="s">
        <v>1380</v>
      </c>
      <c r="H113" s="7" t="s">
        <v>1381</v>
      </c>
      <c r="I113" s="7" t="s">
        <v>71</v>
      </c>
      <c r="J113" s="7" t="s">
        <v>72</v>
      </c>
      <c r="K113" s="7"/>
      <c r="L113" s="7"/>
    </row>
    <row r="114" spans="1:12" ht="23.25" customHeight="1" x14ac:dyDescent="0.2">
      <c r="A114" s="7" t="s">
        <v>1382</v>
      </c>
      <c r="B114" s="7" t="s">
        <v>1383</v>
      </c>
      <c r="C114" s="7" t="s">
        <v>1384</v>
      </c>
      <c r="D114" s="8" t="s">
        <v>67</v>
      </c>
      <c r="E114" s="8" t="s">
        <v>67</v>
      </c>
      <c r="F114" s="8" t="s">
        <v>67</v>
      </c>
      <c r="G114" s="7" t="s">
        <v>1385</v>
      </c>
      <c r="H114" s="7" t="s">
        <v>1386</v>
      </c>
      <c r="I114" s="7" t="s">
        <v>71</v>
      </c>
      <c r="J114" s="7" t="s">
        <v>72</v>
      </c>
      <c r="K114" s="7"/>
      <c r="L114" s="7"/>
    </row>
    <row r="115" spans="1:12" ht="15" customHeight="1" x14ac:dyDescent="0.2">
      <c r="A115" s="7" t="s">
        <v>1387</v>
      </c>
      <c r="B115" s="7" t="s">
        <v>1388</v>
      </c>
      <c r="C115" s="7" t="s">
        <v>1389</v>
      </c>
      <c r="D115" s="8" t="s">
        <v>67</v>
      </c>
      <c r="E115" s="8"/>
      <c r="F115" s="8"/>
      <c r="G115" s="7" t="s">
        <v>1390</v>
      </c>
      <c r="H115" s="7" t="s">
        <v>1391</v>
      </c>
      <c r="I115" s="7" t="s">
        <v>71</v>
      </c>
      <c r="J115" s="7" t="s">
        <v>72</v>
      </c>
      <c r="K115" s="7"/>
      <c r="L115" s="7"/>
    </row>
    <row r="116" spans="1:12" ht="23.25" customHeight="1" x14ac:dyDescent="0.2">
      <c r="A116" s="7" t="s">
        <v>1392</v>
      </c>
      <c r="B116" s="7" t="s">
        <v>1393</v>
      </c>
      <c r="C116" s="7" t="s">
        <v>1394</v>
      </c>
      <c r="D116" s="8" t="s">
        <v>67</v>
      </c>
      <c r="E116" s="8"/>
      <c r="F116" s="8"/>
      <c r="G116" s="7" t="s">
        <v>1395</v>
      </c>
      <c r="H116" s="7" t="s">
        <v>1396</v>
      </c>
      <c r="I116" s="7" t="s">
        <v>71</v>
      </c>
      <c r="J116" s="7" t="s">
        <v>72</v>
      </c>
      <c r="K116" s="7"/>
      <c r="L116" s="7"/>
    </row>
    <row r="117" spans="1:12" ht="23.25" customHeight="1" x14ac:dyDescent="0.2">
      <c r="A117" s="7" t="s">
        <v>1397</v>
      </c>
      <c r="B117" s="7" t="s">
        <v>1398</v>
      </c>
      <c r="C117" s="7" t="s">
        <v>1399</v>
      </c>
      <c r="D117" s="8" t="s">
        <v>67</v>
      </c>
      <c r="E117" s="8"/>
      <c r="F117" s="8"/>
      <c r="G117" s="7" t="s">
        <v>1400</v>
      </c>
      <c r="H117" s="7" t="s">
        <v>1401</v>
      </c>
      <c r="I117" s="7" t="s">
        <v>71</v>
      </c>
      <c r="J117" s="7" t="s">
        <v>72</v>
      </c>
      <c r="K117" s="7"/>
      <c r="L117" s="7"/>
    </row>
    <row r="118" spans="1:12" ht="15" customHeight="1" x14ac:dyDescent="0.2">
      <c r="A118" s="7" t="s">
        <v>1402</v>
      </c>
      <c r="B118" s="7" t="s">
        <v>1403</v>
      </c>
      <c r="C118" s="7" t="s">
        <v>1404</v>
      </c>
      <c r="D118" s="8"/>
      <c r="E118" s="8" t="s">
        <v>67</v>
      </c>
      <c r="F118" s="8" t="s">
        <v>67</v>
      </c>
      <c r="G118" s="7" t="s">
        <v>1405</v>
      </c>
      <c r="H118" s="7" t="s">
        <v>1406</v>
      </c>
      <c r="I118" s="7" t="s">
        <v>71</v>
      </c>
      <c r="J118" s="7" t="s">
        <v>72</v>
      </c>
      <c r="K118" s="7"/>
      <c r="L118" s="7"/>
    </row>
    <row r="119" spans="1:12" ht="23.25" customHeight="1" x14ac:dyDescent="0.2">
      <c r="A119" s="7" t="s">
        <v>1407</v>
      </c>
      <c r="B119" s="7" t="s">
        <v>1408</v>
      </c>
      <c r="C119" s="7" t="s">
        <v>1409</v>
      </c>
      <c r="D119" s="8"/>
      <c r="E119" s="8"/>
      <c r="F119" s="8" t="s">
        <v>67</v>
      </c>
      <c r="G119" s="7" t="s">
        <v>1410</v>
      </c>
      <c r="H119" s="7" t="s">
        <v>1411</v>
      </c>
      <c r="I119" s="7" t="s">
        <v>71</v>
      </c>
      <c r="J119" s="7" t="s">
        <v>72</v>
      </c>
      <c r="K119" s="7"/>
      <c r="L119" s="7"/>
    </row>
    <row r="120" spans="1:12" ht="23.25" customHeight="1" x14ac:dyDescent="0.2">
      <c r="A120" s="7" t="s">
        <v>1412</v>
      </c>
      <c r="B120" s="7" t="s">
        <v>1413</v>
      </c>
      <c r="C120" s="7" t="s">
        <v>1414</v>
      </c>
      <c r="D120" s="8"/>
      <c r="E120" s="8" t="s">
        <v>67</v>
      </c>
      <c r="F120" s="8" t="s">
        <v>67</v>
      </c>
      <c r="G120" s="7" t="s">
        <v>1415</v>
      </c>
      <c r="H120" s="7" t="s">
        <v>1416</v>
      </c>
      <c r="I120" s="7" t="s">
        <v>71</v>
      </c>
      <c r="J120" s="7" t="s">
        <v>72</v>
      </c>
      <c r="K120" s="7"/>
      <c r="L120" s="7"/>
    </row>
    <row r="121" spans="1:12" ht="23.25" customHeight="1" x14ac:dyDescent="0.2">
      <c r="A121" s="7" t="s">
        <v>1417</v>
      </c>
      <c r="B121" s="7" t="s">
        <v>1418</v>
      </c>
      <c r="C121" s="7" t="s">
        <v>1419</v>
      </c>
      <c r="D121" s="8" t="s">
        <v>67</v>
      </c>
      <c r="E121" s="8" t="s">
        <v>67</v>
      </c>
      <c r="F121" s="8" t="s">
        <v>67</v>
      </c>
      <c r="G121" s="7" t="s">
        <v>1420</v>
      </c>
      <c r="H121" s="7" t="s">
        <v>1421</v>
      </c>
      <c r="I121" s="7" t="s">
        <v>71</v>
      </c>
      <c r="J121" s="7" t="s">
        <v>72</v>
      </c>
      <c r="K121" s="7"/>
      <c r="L121" s="7"/>
    </row>
    <row r="122" spans="1:12" ht="23.25" customHeight="1" x14ac:dyDescent="0.2">
      <c r="A122" s="7" t="s">
        <v>1422</v>
      </c>
      <c r="B122" s="7" t="s">
        <v>1423</v>
      </c>
      <c r="C122" s="7" t="s">
        <v>1424</v>
      </c>
      <c r="D122" s="8"/>
      <c r="E122" s="8" t="s">
        <v>67</v>
      </c>
      <c r="F122" s="8"/>
      <c r="G122" s="7" t="s">
        <v>1425</v>
      </c>
      <c r="H122" s="7" t="s">
        <v>1426</v>
      </c>
      <c r="I122" s="7" t="s">
        <v>71</v>
      </c>
      <c r="J122" s="7" t="s">
        <v>72</v>
      </c>
      <c r="K122" s="7"/>
      <c r="L122" s="7"/>
    </row>
    <row r="123" spans="1:12" ht="15" customHeight="1" x14ac:dyDescent="0.2">
      <c r="A123" s="7" t="s">
        <v>1427</v>
      </c>
      <c r="B123" s="7" t="s">
        <v>1428</v>
      </c>
      <c r="C123" s="7" t="s">
        <v>1429</v>
      </c>
      <c r="D123" s="8" t="s">
        <v>67</v>
      </c>
      <c r="E123" s="8" t="s">
        <v>67</v>
      </c>
      <c r="F123" s="8" t="s">
        <v>67</v>
      </c>
      <c r="G123" s="7" t="s">
        <v>1430</v>
      </c>
      <c r="H123" s="7" t="s">
        <v>1431</v>
      </c>
      <c r="I123" s="7" t="s">
        <v>71</v>
      </c>
      <c r="J123" s="7" t="s">
        <v>72</v>
      </c>
      <c r="K123" s="7"/>
      <c r="L123" s="7"/>
    </row>
    <row r="124" spans="1:12" ht="23.25" customHeight="1" x14ac:dyDescent="0.2">
      <c r="A124" s="7" t="s">
        <v>1432</v>
      </c>
      <c r="B124" s="7" t="s">
        <v>1433</v>
      </c>
      <c r="C124" s="7" t="s">
        <v>1434</v>
      </c>
      <c r="D124" s="8"/>
      <c r="E124" s="8" t="s">
        <v>67</v>
      </c>
      <c r="F124" s="8"/>
      <c r="G124" s="7" t="s">
        <v>1435</v>
      </c>
      <c r="H124" s="7" t="s">
        <v>1436</v>
      </c>
      <c r="I124" s="7" t="s">
        <v>71</v>
      </c>
      <c r="J124" s="7" t="s">
        <v>72</v>
      </c>
      <c r="K124" s="7"/>
      <c r="L124" s="7"/>
    </row>
    <row r="125" spans="1:12" ht="15" customHeight="1" x14ac:dyDescent="0.2">
      <c r="A125" s="7" t="s">
        <v>1437</v>
      </c>
      <c r="B125" s="7" t="s">
        <v>1438</v>
      </c>
      <c r="C125" s="7" t="s">
        <v>1439</v>
      </c>
      <c r="D125" s="8" t="s">
        <v>67</v>
      </c>
      <c r="E125" s="8" t="s">
        <v>67</v>
      </c>
      <c r="F125" s="8" t="s">
        <v>67</v>
      </c>
      <c r="G125" s="7" t="s">
        <v>1440</v>
      </c>
      <c r="H125" s="7" t="s">
        <v>1441</v>
      </c>
      <c r="I125" s="7" t="s">
        <v>71</v>
      </c>
      <c r="J125" s="7" t="s">
        <v>72</v>
      </c>
      <c r="K125" s="7"/>
      <c r="L125" s="7"/>
    </row>
    <row r="126" spans="1:12" ht="23.25" customHeight="1" x14ac:dyDescent="0.2">
      <c r="A126" s="7" t="s">
        <v>1442</v>
      </c>
      <c r="B126" s="7" t="s">
        <v>1443</v>
      </c>
      <c r="C126" s="7" t="s">
        <v>1444</v>
      </c>
      <c r="D126" s="8" t="s">
        <v>67</v>
      </c>
      <c r="E126" s="8" t="s">
        <v>67</v>
      </c>
      <c r="F126" s="8" t="s">
        <v>67</v>
      </c>
      <c r="G126" s="7" t="s">
        <v>1445</v>
      </c>
      <c r="H126" s="7" t="s">
        <v>1446</v>
      </c>
      <c r="I126" s="7" t="s">
        <v>71</v>
      </c>
      <c r="J126" s="7" t="s">
        <v>72</v>
      </c>
      <c r="K126" s="7"/>
      <c r="L126" s="7"/>
    </row>
    <row r="127" spans="1:12" ht="15" customHeight="1" x14ac:dyDescent="0.2">
      <c r="A127" s="7" t="s">
        <v>1447</v>
      </c>
      <c r="B127" s="7" t="s">
        <v>1448</v>
      </c>
      <c r="C127" s="7" t="s">
        <v>1449</v>
      </c>
      <c r="D127" s="8" t="s">
        <v>67</v>
      </c>
      <c r="E127" s="8"/>
      <c r="F127" s="8"/>
      <c r="G127" s="7" t="s">
        <v>1450</v>
      </c>
      <c r="H127" s="7" t="s">
        <v>1451</v>
      </c>
      <c r="I127" s="7" t="s">
        <v>71</v>
      </c>
      <c r="J127" s="7" t="s">
        <v>72</v>
      </c>
      <c r="K127" s="7"/>
      <c r="L127" s="7"/>
    </row>
    <row r="128" spans="1:12" ht="23.25" customHeight="1" x14ac:dyDescent="0.2">
      <c r="A128" s="7" t="s">
        <v>1452</v>
      </c>
      <c r="B128" s="7" t="s">
        <v>1453</v>
      </c>
      <c r="C128" s="7" t="s">
        <v>1454</v>
      </c>
      <c r="D128" s="8" t="s">
        <v>67</v>
      </c>
      <c r="E128" s="8"/>
      <c r="F128" s="8"/>
      <c r="G128" s="7" t="s">
        <v>1455</v>
      </c>
      <c r="H128" s="7" t="s">
        <v>1456</v>
      </c>
      <c r="I128" s="7" t="s">
        <v>71</v>
      </c>
      <c r="J128" s="7" t="s">
        <v>72</v>
      </c>
      <c r="K128" s="7"/>
      <c r="L128" s="7"/>
    </row>
    <row r="129" spans="1:12" ht="23.25" customHeight="1" x14ac:dyDescent="0.2">
      <c r="A129" s="7" t="s">
        <v>1457</v>
      </c>
      <c r="B129" s="7" t="s">
        <v>1458</v>
      </c>
      <c r="C129" s="7" t="s">
        <v>1459</v>
      </c>
      <c r="D129" s="8" t="s">
        <v>67</v>
      </c>
      <c r="E129" s="8" t="s">
        <v>67</v>
      </c>
      <c r="F129" s="8"/>
      <c r="G129" s="7" t="s">
        <v>1460</v>
      </c>
      <c r="H129" s="7" t="s">
        <v>1461</v>
      </c>
      <c r="I129" s="7" t="s">
        <v>71</v>
      </c>
      <c r="J129" s="7" t="s">
        <v>72</v>
      </c>
      <c r="K129" s="7"/>
      <c r="L129" s="7"/>
    </row>
    <row r="130" spans="1:12" ht="15" customHeight="1" x14ac:dyDescent="0.2">
      <c r="A130" s="7" t="s">
        <v>1462</v>
      </c>
      <c r="B130" s="7" t="s">
        <v>1463</v>
      </c>
      <c r="C130" s="7" t="s">
        <v>1464</v>
      </c>
      <c r="D130" s="8" t="s">
        <v>67</v>
      </c>
      <c r="E130" s="8" t="s">
        <v>67</v>
      </c>
      <c r="F130" s="8" t="s">
        <v>67</v>
      </c>
      <c r="G130" s="7" t="s">
        <v>1465</v>
      </c>
      <c r="H130" s="7" t="s">
        <v>1466</v>
      </c>
      <c r="I130" s="7" t="s">
        <v>71</v>
      </c>
      <c r="J130" s="7" t="s">
        <v>72</v>
      </c>
      <c r="K130" s="7"/>
      <c r="L130" s="7"/>
    </row>
    <row r="131" spans="1:12" ht="15" customHeight="1" x14ac:dyDescent="0.2">
      <c r="A131" s="7" t="s">
        <v>1467</v>
      </c>
      <c r="B131" s="7" t="s">
        <v>1468</v>
      </c>
      <c r="C131" s="7" t="s">
        <v>1469</v>
      </c>
      <c r="D131" s="8" t="s">
        <v>67</v>
      </c>
      <c r="E131" s="8" t="s">
        <v>67</v>
      </c>
      <c r="F131" s="8" t="s">
        <v>67</v>
      </c>
      <c r="G131" s="7" t="s">
        <v>1470</v>
      </c>
      <c r="H131" s="7" t="s">
        <v>1471</v>
      </c>
      <c r="I131" s="7" t="s">
        <v>71</v>
      </c>
      <c r="J131" s="7" t="s">
        <v>72</v>
      </c>
      <c r="K131" s="7"/>
      <c r="L131" s="7"/>
    </row>
    <row r="132" spans="1:12" ht="23.25" customHeight="1" x14ac:dyDescent="0.2">
      <c r="A132" s="7" t="s">
        <v>1472</v>
      </c>
      <c r="B132" s="7" t="s">
        <v>1473</v>
      </c>
      <c r="C132" s="7" t="s">
        <v>1474</v>
      </c>
      <c r="D132" s="8" t="s">
        <v>67</v>
      </c>
      <c r="E132" s="8" t="s">
        <v>67</v>
      </c>
      <c r="F132" s="8" t="s">
        <v>67</v>
      </c>
      <c r="G132" s="7" t="s">
        <v>1475</v>
      </c>
      <c r="H132" s="7" t="s">
        <v>1476</v>
      </c>
      <c r="I132" s="7" t="s">
        <v>71</v>
      </c>
      <c r="J132" s="7" t="s">
        <v>72</v>
      </c>
      <c r="K132" s="7"/>
      <c r="L132" s="7"/>
    </row>
    <row r="133" spans="1:12" ht="15" customHeight="1" x14ac:dyDescent="0.2">
      <c r="A133" s="7" t="s">
        <v>1477</v>
      </c>
      <c r="B133" s="7" t="s">
        <v>1478</v>
      </c>
      <c r="C133" s="7" t="s">
        <v>1479</v>
      </c>
      <c r="D133" s="8"/>
      <c r="E133" s="8" t="s">
        <v>67</v>
      </c>
      <c r="F133" s="8"/>
      <c r="G133" s="7" t="s">
        <v>1480</v>
      </c>
      <c r="H133" s="7" t="s">
        <v>1481</v>
      </c>
      <c r="I133" s="7" t="s">
        <v>71</v>
      </c>
      <c r="J133" s="7" t="s">
        <v>72</v>
      </c>
      <c r="K133" s="7"/>
      <c r="L133" s="7"/>
    </row>
    <row r="134" spans="1:12" ht="23.25" customHeight="1" x14ac:dyDescent="0.2">
      <c r="A134" s="7" t="s">
        <v>1482</v>
      </c>
      <c r="B134" s="7" t="s">
        <v>1483</v>
      </c>
      <c r="C134" s="7" t="s">
        <v>1484</v>
      </c>
      <c r="D134" s="8" t="s">
        <v>67</v>
      </c>
      <c r="E134" s="8" t="s">
        <v>67</v>
      </c>
      <c r="F134" s="8" t="s">
        <v>67</v>
      </c>
      <c r="G134" s="7" t="s">
        <v>1485</v>
      </c>
      <c r="H134" s="7" t="s">
        <v>1486</v>
      </c>
      <c r="I134" s="7" t="s">
        <v>71</v>
      </c>
      <c r="J134" s="7" t="s">
        <v>72</v>
      </c>
      <c r="K134" s="7"/>
      <c r="L134" s="7"/>
    </row>
    <row r="135" spans="1:12" ht="23.25" customHeight="1" x14ac:dyDescent="0.2">
      <c r="A135" s="7" t="s">
        <v>1487</v>
      </c>
      <c r="B135" s="7" t="s">
        <v>1488</v>
      </c>
      <c r="C135" s="7" t="s">
        <v>1489</v>
      </c>
      <c r="D135" s="8" t="s">
        <v>67</v>
      </c>
      <c r="E135" s="8" t="s">
        <v>67</v>
      </c>
      <c r="F135" s="8" t="s">
        <v>67</v>
      </c>
      <c r="G135" s="7" t="s">
        <v>1490</v>
      </c>
      <c r="H135" s="7" t="s">
        <v>1491</v>
      </c>
      <c r="I135" s="7" t="s">
        <v>71</v>
      </c>
      <c r="J135" s="7" t="s">
        <v>72</v>
      </c>
      <c r="K135" s="7"/>
      <c r="L135" s="7"/>
    </row>
    <row r="136" spans="1:12" ht="23.25" customHeight="1" x14ac:dyDescent="0.2">
      <c r="A136" s="7" t="s">
        <v>1492</v>
      </c>
      <c r="B136" s="7" t="s">
        <v>1493</v>
      </c>
      <c r="C136" s="7" t="s">
        <v>1494</v>
      </c>
      <c r="D136" s="8"/>
      <c r="E136" s="8" t="s">
        <v>67</v>
      </c>
      <c r="F136" s="8"/>
      <c r="G136" s="7" t="s">
        <v>1495</v>
      </c>
      <c r="H136" s="7" t="s">
        <v>1496</v>
      </c>
      <c r="I136" s="7" t="s">
        <v>71</v>
      </c>
      <c r="J136" s="7" t="s">
        <v>72</v>
      </c>
      <c r="K136" s="7"/>
      <c r="L136" s="7"/>
    </row>
    <row r="137" spans="1:12" ht="23.25" customHeight="1" x14ac:dyDescent="0.2">
      <c r="A137" s="7" t="s">
        <v>1497</v>
      </c>
      <c r="B137" s="7" t="s">
        <v>1498</v>
      </c>
      <c r="C137" s="7" t="s">
        <v>1499</v>
      </c>
      <c r="D137" s="8"/>
      <c r="E137" s="8" t="s">
        <v>67</v>
      </c>
      <c r="F137" s="8"/>
      <c r="G137" s="7" t="s">
        <v>1500</v>
      </c>
      <c r="H137" s="7" t="s">
        <v>1501</v>
      </c>
      <c r="I137" s="7" t="s">
        <v>71</v>
      </c>
      <c r="J137" s="7" t="s">
        <v>72</v>
      </c>
      <c r="K137" s="7"/>
      <c r="L137" s="7"/>
    </row>
    <row r="138" spans="1:12" ht="15" customHeight="1" x14ac:dyDescent="0.2">
      <c r="A138" s="7" t="s">
        <v>1502</v>
      </c>
      <c r="B138" s="7" t="s">
        <v>1503</v>
      </c>
      <c r="C138" s="7" t="s">
        <v>1504</v>
      </c>
      <c r="D138" s="8" t="s">
        <v>67</v>
      </c>
      <c r="E138" s="8"/>
      <c r="F138" s="8"/>
      <c r="G138" s="7" t="s">
        <v>1505</v>
      </c>
      <c r="H138" s="7" t="s">
        <v>1506</v>
      </c>
      <c r="I138" s="7" t="s">
        <v>71</v>
      </c>
      <c r="J138" s="7" t="s">
        <v>72</v>
      </c>
      <c r="K138" s="7"/>
      <c r="L138" s="7"/>
    </row>
    <row r="139" spans="1:12" ht="23.25" customHeight="1" x14ac:dyDescent="0.2">
      <c r="A139" s="7" t="s">
        <v>1507</v>
      </c>
      <c r="B139" s="7" t="s">
        <v>1508</v>
      </c>
      <c r="C139" s="7" t="s">
        <v>1509</v>
      </c>
      <c r="D139" s="8" t="s">
        <v>67</v>
      </c>
      <c r="E139" s="8"/>
      <c r="F139" s="8" t="s">
        <v>67</v>
      </c>
      <c r="G139" s="7" t="s">
        <v>1510</v>
      </c>
      <c r="H139" s="7" t="s">
        <v>1511</v>
      </c>
      <c r="I139" s="7" t="s">
        <v>71</v>
      </c>
      <c r="J139" s="7" t="s">
        <v>72</v>
      </c>
      <c r="K139" s="7"/>
      <c r="L139" s="7"/>
    </row>
  </sheetData>
  <autoFilter ref="A3:L139" xr:uid="{00000000-0009-0000-0000-000009000000}"/>
  <conditionalFormatting sqref="J4:J139">
    <cfRule type="cellIs" dxfId="42" priority="2" operator="equal">
      <formula>"Implemented"</formula>
    </cfRule>
    <cfRule type="cellIs" dxfId="41" priority="3" operator="equal">
      <formula>"Verified"</formula>
    </cfRule>
    <cfRule type="cellIs" dxfId="40" priority="4" operator="equal">
      <formula>"In progress"</formula>
    </cfRule>
  </conditionalFormatting>
  <dataValidations count="2">
    <dataValidation type="list" allowBlank="1" sqref="I4:I139" xr:uid="{00000000-0002-0000-0900-000000000000}">
      <formula1>"Yes,No"</formula1>
      <formula2>0</formula2>
    </dataValidation>
    <dataValidation type="list" allowBlank="1" sqref="J4:J139" xr:uid="{00000000-0002-0000-0900-000001000000}">
      <formula1>"Not started,In progress,Implemented,Verified,Not applicable"</formula1>
      <formula2>0</formula2>
    </dataValidation>
  </dataValidations>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52"/>
  <sheetViews>
    <sheetView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5" x14ac:dyDescent="0.2"/>
  <cols>
    <col min="1" max="1" width="9" customWidth="1"/>
    <col min="2" max="2" width="34" customWidth="1"/>
    <col min="3" max="4" width="56" customWidth="1"/>
    <col min="5" max="5" width="32" customWidth="1"/>
    <col min="6" max="8" width="5" customWidth="1"/>
    <col min="9" max="9" width="44" customWidth="1"/>
    <col min="10" max="10" width="36" customWidth="1"/>
    <col min="11" max="11" width="12" customWidth="1"/>
    <col min="12" max="13" width="14" customWidth="1"/>
    <col min="14" max="14" width="26" customWidth="1"/>
  </cols>
  <sheetData>
    <row r="1" spans="1:14" ht="17.25" customHeight="1" x14ac:dyDescent="0.2">
      <c r="A1" s="3" t="s">
        <v>1512</v>
      </c>
    </row>
    <row r="3" spans="1:14" ht="15" customHeight="1" x14ac:dyDescent="0.2">
      <c r="A3" s="24" t="s">
        <v>48</v>
      </c>
      <c r="B3" s="24" t="s">
        <v>50</v>
      </c>
      <c r="C3" s="24" t="s">
        <v>1513</v>
      </c>
      <c r="D3" s="24" t="s">
        <v>1514</v>
      </c>
      <c r="E3" s="24" t="s">
        <v>1515</v>
      </c>
      <c r="F3" s="24" t="s">
        <v>52</v>
      </c>
      <c r="G3" s="24" t="s">
        <v>53</v>
      </c>
      <c r="H3" s="24" t="s">
        <v>54</v>
      </c>
      <c r="I3" s="24" t="s">
        <v>999</v>
      </c>
      <c r="J3" s="24" t="s">
        <v>57</v>
      </c>
      <c r="K3" s="24" t="s">
        <v>545</v>
      </c>
      <c r="L3" s="24" t="s">
        <v>59</v>
      </c>
      <c r="M3" s="24" t="s">
        <v>60</v>
      </c>
      <c r="N3" s="24" t="s">
        <v>61</v>
      </c>
    </row>
    <row r="4" spans="1:14" ht="15" customHeight="1" x14ac:dyDescent="0.2">
      <c r="A4" s="6" t="s">
        <v>908</v>
      </c>
      <c r="B4" s="6" t="s">
        <v>1516</v>
      </c>
      <c r="C4" s="6"/>
      <c r="D4" s="6"/>
      <c r="E4" s="6"/>
      <c r="F4" s="6"/>
      <c r="G4" s="6"/>
      <c r="H4" s="6"/>
      <c r="I4" s="6"/>
      <c r="J4" s="6"/>
      <c r="K4" s="6"/>
      <c r="L4" s="6"/>
      <c r="M4" s="6"/>
      <c r="N4" s="6"/>
    </row>
    <row r="5" spans="1:14" ht="45.75" customHeight="1" x14ac:dyDescent="0.2">
      <c r="A5" s="7" t="s">
        <v>176</v>
      </c>
      <c r="B5" s="7" t="s">
        <v>1517</v>
      </c>
      <c r="C5" s="7" t="s">
        <v>1518</v>
      </c>
      <c r="D5" s="7" t="s">
        <v>1519</v>
      </c>
      <c r="E5" s="7" t="s">
        <v>1520</v>
      </c>
      <c r="F5" s="8"/>
      <c r="G5" s="8"/>
      <c r="H5" s="8"/>
      <c r="I5" s="7" t="s">
        <v>1521</v>
      </c>
      <c r="J5" s="7" t="s">
        <v>1522</v>
      </c>
      <c r="K5" s="7" t="s">
        <v>71</v>
      </c>
      <c r="L5" s="7" t="s">
        <v>72</v>
      </c>
      <c r="M5" s="7"/>
      <c r="N5" s="7"/>
    </row>
    <row r="6" spans="1:14" ht="34.5" customHeight="1" x14ac:dyDescent="0.2">
      <c r="A6" s="7" t="s">
        <v>182</v>
      </c>
      <c r="B6" s="7" t="s">
        <v>1523</v>
      </c>
      <c r="C6" s="7" t="s">
        <v>1524</v>
      </c>
      <c r="D6" s="7" t="s">
        <v>1525</v>
      </c>
      <c r="E6" s="7" t="s">
        <v>1526</v>
      </c>
      <c r="F6" s="8"/>
      <c r="G6" s="8"/>
      <c r="H6" s="8"/>
      <c r="I6" s="7" t="s">
        <v>1521</v>
      </c>
      <c r="J6" s="7" t="s">
        <v>1527</v>
      </c>
      <c r="K6" s="7" t="s">
        <v>71</v>
      </c>
      <c r="L6" s="7" t="s">
        <v>72</v>
      </c>
      <c r="M6" s="7"/>
      <c r="N6" s="7"/>
    </row>
    <row r="7" spans="1:14" ht="23.25" customHeight="1" x14ac:dyDescent="0.2">
      <c r="A7" s="7" t="s">
        <v>187</v>
      </c>
      <c r="B7" s="7" t="s">
        <v>242</v>
      </c>
      <c r="C7" s="7" t="s">
        <v>1528</v>
      </c>
      <c r="D7" s="7" t="s">
        <v>1529</v>
      </c>
      <c r="E7" s="7" t="s">
        <v>1530</v>
      </c>
      <c r="F7" s="8"/>
      <c r="G7" s="8"/>
      <c r="H7" s="8"/>
      <c r="I7" s="7" t="s">
        <v>1521</v>
      </c>
      <c r="J7" s="7" t="s">
        <v>1531</v>
      </c>
      <c r="K7" s="7" t="s">
        <v>71</v>
      </c>
      <c r="L7" s="7" t="s">
        <v>72</v>
      </c>
      <c r="M7" s="7"/>
      <c r="N7" s="7"/>
    </row>
    <row r="8" spans="1:14" ht="23.25" customHeight="1" x14ac:dyDescent="0.2">
      <c r="A8" s="7" t="s">
        <v>192</v>
      </c>
      <c r="B8" s="7" t="s">
        <v>1532</v>
      </c>
      <c r="C8" s="7" t="s">
        <v>1533</v>
      </c>
      <c r="D8" s="7" t="s">
        <v>1534</v>
      </c>
      <c r="E8" s="7" t="s">
        <v>1535</v>
      </c>
      <c r="F8" s="8"/>
      <c r="G8" s="8"/>
      <c r="H8" s="8"/>
      <c r="I8" s="7" t="s">
        <v>1521</v>
      </c>
      <c r="J8" s="7" t="s">
        <v>1536</v>
      </c>
      <c r="K8" s="7" t="s">
        <v>71</v>
      </c>
      <c r="L8" s="7" t="s">
        <v>72</v>
      </c>
      <c r="M8" s="7"/>
      <c r="N8" s="7"/>
    </row>
    <row r="9" spans="1:14" ht="23.25" customHeight="1" x14ac:dyDescent="0.2">
      <c r="A9" s="7" t="s">
        <v>1537</v>
      </c>
      <c r="B9" s="7" t="s">
        <v>1538</v>
      </c>
      <c r="C9" s="7" t="s">
        <v>1539</v>
      </c>
      <c r="D9" s="7" t="s">
        <v>1540</v>
      </c>
      <c r="E9" s="7" t="s">
        <v>1541</v>
      </c>
      <c r="F9" s="8"/>
      <c r="G9" s="8"/>
      <c r="H9" s="8"/>
      <c r="I9" s="7" t="s">
        <v>1521</v>
      </c>
      <c r="J9" s="7" t="s">
        <v>1009</v>
      </c>
      <c r="K9" s="7" t="s">
        <v>71</v>
      </c>
      <c r="L9" s="7" t="s">
        <v>72</v>
      </c>
      <c r="M9" s="7"/>
      <c r="N9" s="7"/>
    </row>
    <row r="10" spans="1:14" ht="34.5" customHeight="1" x14ac:dyDescent="0.2">
      <c r="A10" s="7" t="s">
        <v>1542</v>
      </c>
      <c r="B10" s="7" t="s">
        <v>1543</v>
      </c>
      <c r="C10" s="7" t="s">
        <v>1544</v>
      </c>
      <c r="D10" s="7" t="s">
        <v>1545</v>
      </c>
      <c r="E10" s="7" t="s">
        <v>1546</v>
      </c>
      <c r="F10" s="8" t="s">
        <v>67</v>
      </c>
      <c r="G10" s="8"/>
      <c r="H10" s="8"/>
      <c r="I10" s="7" t="s">
        <v>1547</v>
      </c>
      <c r="J10" s="7" t="s">
        <v>1548</v>
      </c>
      <c r="K10" s="7" t="s">
        <v>71</v>
      </c>
      <c r="L10" s="7" t="s">
        <v>72</v>
      </c>
      <c r="M10" s="7"/>
      <c r="N10" s="7"/>
    </row>
    <row r="11" spans="1:14" ht="23.25" customHeight="1" x14ac:dyDescent="0.2">
      <c r="A11" s="7" t="s">
        <v>1549</v>
      </c>
      <c r="B11" s="7" t="s">
        <v>1550</v>
      </c>
      <c r="C11" s="7" t="s">
        <v>1551</v>
      </c>
      <c r="D11" s="7" t="s">
        <v>1552</v>
      </c>
      <c r="E11" s="7" t="s">
        <v>1553</v>
      </c>
      <c r="F11" s="8"/>
      <c r="G11" s="8"/>
      <c r="H11" s="8"/>
      <c r="I11" s="7" t="s">
        <v>1521</v>
      </c>
      <c r="J11" s="7" t="s">
        <v>1554</v>
      </c>
      <c r="K11" s="7" t="s">
        <v>71</v>
      </c>
      <c r="L11" s="7" t="s">
        <v>72</v>
      </c>
      <c r="M11" s="7"/>
      <c r="N11" s="7"/>
    </row>
    <row r="12" spans="1:14" ht="23.25" customHeight="1" x14ac:dyDescent="0.2">
      <c r="A12" s="7" t="s">
        <v>1555</v>
      </c>
      <c r="B12" s="7" t="s">
        <v>1556</v>
      </c>
      <c r="C12" s="7" t="s">
        <v>1557</v>
      </c>
      <c r="D12" s="7" t="s">
        <v>1558</v>
      </c>
      <c r="E12" s="7" t="s">
        <v>1559</v>
      </c>
      <c r="F12" s="8"/>
      <c r="G12" s="8"/>
      <c r="H12" s="8"/>
      <c r="I12" s="7" t="s">
        <v>1521</v>
      </c>
      <c r="J12" s="7" t="s">
        <v>1560</v>
      </c>
      <c r="K12" s="7" t="s">
        <v>71</v>
      </c>
      <c r="L12" s="7" t="s">
        <v>72</v>
      </c>
      <c r="M12" s="7"/>
      <c r="N12" s="7"/>
    </row>
    <row r="13" spans="1:14" ht="15" customHeight="1" x14ac:dyDescent="0.2">
      <c r="A13" s="6" t="s">
        <v>915</v>
      </c>
      <c r="B13" s="6" t="s">
        <v>1561</v>
      </c>
      <c r="C13" s="6"/>
      <c r="D13" s="6"/>
      <c r="E13" s="6"/>
      <c r="F13" s="6"/>
      <c r="G13" s="6"/>
      <c r="H13" s="6"/>
      <c r="I13" s="6"/>
      <c r="J13" s="6"/>
      <c r="K13" s="6"/>
      <c r="L13" s="6"/>
      <c r="M13" s="6"/>
      <c r="N13" s="6"/>
    </row>
    <row r="14" spans="1:14" ht="34.5" customHeight="1" x14ac:dyDescent="0.2">
      <c r="A14" s="7" t="s">
        <v>197</v>
      </c>
      <c r="B14" s="7" t="s">
        <v>1562</v>
      </c>
      <c r="C14" s="7" t="s">
        <v>1563</v>
      </c>
      <c r="D14" s="7" t="s">
        <v>1564</v>
      </c>
      <c r="E14" s="7" t="s">
        <v>1565</v>
      </c>
      <c r="F14" s="8"/>
      <c r="G14" s="8"/>
      <c r="H14" s="8"/>
      <c r="I14" s="7" t="s">
        <v>1521</v>
      </c>
      <c r="J14" s="7" t="s">
        <v>1566</v>
      </c>
      <c r="K14" s="7" t="s">
        <v>71</v>
      </c>
      <c r="L14" s="7" t="s">
        <v>72</v>
      </c>
      <c r="M14" s="7"/>
      <c r="N14" s="7"/>
    </row>
    <row r="15" spans="1:14" ht="23.25" customHeight="1" x14ac:dyDescent="0.2">
      <c r="A15" s="7" t="s">
        <v>203</v>
      </c>
      <c r="B15" s="7" t="s">
        <v>1567</v>
      </c>
      <c r="C15" s="7" t="s">
        <v>1568</v>
      </c>
      <c r="D15" s="7" t="s">
        <v>1569</v>
      </c>
      <c r="E15" s="7" t="s">
        <v>1570</v>
      </c>
      <c r="F15" s="8"/>
      <c r="G15" s="8"/>
      <c r="H15" s="8"/>
      <c r="I15" s="7" t="s">
        <v>1521</v>
      </c>
      <c r="J15" s="7" t="s">
        <v>1571</v>
      </c>
      <c r="K15" s="7" t="s">
        <v>71</v>
      </c>
      <c r="L15" s="7" t="s">
        <v>72</v>
      </c>
      <c r="M15" s="7"/>
      <c r="N15" s="7"/>
    </row>
    <row r="16" spans="1:14" ht="23.25" customHeight="1" x14ac:dyDescent="0.2">
      <c r="A16" s="7" t="s">
        <v>208</v>
      </c>
      <c r="B16" s="7" t="s">
        <v>1572</v>
      </c>
      <c r="C16" s="7" t="s">
        <v>1573</v>
      </c>
      <c r="D16" s="7" t="s">
        <v>1574</v>
      </c>
      <c r="E16" s="7" t="s">
        <v>1575</v>
      </c>
      <c r="F16" s="8"/>
      <c r="G16" s="8"/>
      <c r="H16" s="8"/>
      <c r="I16" s="7" t="s">
        <v>1521</v>
      </c>
      <c r="J16" s="7" t="s">
        <v>1576</v>
      </c>
      <c r="K16" s="7" t="s">
        <v>71</v>
      </c>
      <c r="L16" s="7" t="s">
        <v>72</v>
      </c>
      <c r="M16" s="7"/>
      <c r="N16" s="7"/>
    </row>
    <row r="17" spans="1:14" ht="15" customHeight="1" x14ac:dyDescent="0.2">
      <c r="A17" s="6" t="s">
        <v>959</v>
      </c>
      <c r="B17" s="6" t="s">
        <v>1577</v>
      </c>
      <c r="C17" s="6"/>
      <c r="D17" s="6"/>
      <c r="E17" s="6"/>
      <c r="F17" s="6"/>
      <c r="G17" s="6"/>
      <c r="H17" s="6"/>
      <c r="I17" s="6"/>
      <c r="J17" s="6"/>
      <c r="K17" s="6"/>
      <c r="L17" s="6"/>
      <c r="M17" s="6"/>
      <c r="N17" s="6"/>
    </row>
    <row r="18" spans="1:14" ht="23.25" customHeight="1" x14ac:dyDescent="0.2">
      <c r="A18" s="7" t="s">
        <v>961</v>
      </c>
      <c r="B18" s="7" t="s">
        <v>1578</v>
      </c>
      <c r="C18" s="7" t="s">
        <v>1579</v>
      </c>
      <c r="D18" s="7" t="s">
        <v>1580</v>
      </c>
      <c r="E18" s="7" t="s">
        <v>1575</v>
      </c>
      <c r="F18" s="8"/>
      <c r="G18" s="8"/>
      <c r="H18" s="8"/>
      <c r="I18" s="7" t="s">
        <v>1521</v>
      </c>
      <c r="J18" s="7" t="s">
        <v>1581</v>
      </c>
      <c r="K18" s="7" t="s">
        <v>71</v>
      </c>
      <c r="L18" s="7" t="s">
        <v>72</v>
      </c>
      <c r="M18" s="7"/>
      <c r="N18" s="7"/>
    </row>
    <row r="19" spans="1:14" ht="23.25" customHeight="1" x14ac:dyDescent="0.2">
      <c r="A19" s="7" t="s">
        <v>225</v>
      </c>
      <c r="B19" s="7" t="s">
        <v>268</v>
      </c>
      <c r="C19" s="7" t="s">
        <v>1582</v>
      </c>
      <c r="D19" s="7" t="s">
        <v>1583</v>
      </c>
      <c r="E19" s="7" t="s">
        <v>1575</v>
      </c>
      <c r="F19" s="8"/>
      <c r="G19" s="8"/>
      <c r="H19" s="8"/>
      <c r="I19" s="7" t="s">
        <v>1521</v>
      </c>
      <c r="J19" s="7" t="s">
        <v>1584</v>
      </c>
      <c r="K19" s="7" t="s">
        <v>71</v>
      </c>
      <c r="L19" s="7" t="s">
        <v>72</v>
      </c>
      <c r="M19" s="7"/>
      <c r="N19" s="7"/>
    </row>
    <row r="20" spans="1:14" ht="15" customHeight="1" x14ac:dyDescent="0.2">
      <c r="A20" s="6" t="s">
        <v>1585</v>
      </c>
      <c r="B20" s="6" t="s">
        <v>1586</v>
      </c>
      <c r="C20" s="6"/>
      <c r="D20" s="6"/>
      <c r="E20" s="6"/>
      <c r="F20" s="6"/>
      <c r="G20" s="6"/>
      <c r="H20" s="6"/>
      <c r="I20" s="6"/>
      <c r="J20" s="6"/>
      <c r="K20" s="6"/>
      <c r="L20" s="6"/>
      <c r="M20" s="6"/>
      <c r="N20" s="6"/>
    </row>
    <row r="21" spans="1:14" ht="34.5" customHeight="1" x14ac:dyDescent="0.2">
      <c r="A21" s="7" t="s">
        <v>235</v>
      </c>
      <c r="B21" s="7" t="s">
        <v>1587</v>
      </c>
      <c r="C21" s="7" t="s">
        <v>1588</v>
      </c>
      <c r="D21" s="7" t="s">
        <v>1589</v>
      </c>
      <c r="E21" s="7" t="s">
        <v>1590</v>
      </c>
      <c r="F21" s="8"/>
      <c r="G21" s="8"/>
      <c r="H21" s="8"/>
      <c r="I21" s="7" t="s">
        <v>1521</v>
      </c>
      <c r="J21" s="7" t="s">
        <v>1591</v>
      </c>
      <c r="K21" s="7" t="s">
        <v>71</v>
      </c>
      <c r="L21" s="7" t="s">
        <v>72</v>
      </c>
      <c r="M21" s="7"/>
      <c r="N21" s="7"/>
    </row>
    <row r="22" spans="1:14" ht="23.25" customHeight="1" x14ac:dyDescent="0.2">
      <c r="A22" s="7" t="s">
        <v>241</v>
      </c>
      <c r="B22" s="7" t="s">
        <v>1592</v>
      </c>
      <c r="C22" s="7" t="s">
        <v>1593</v>
      </c>
      <c r="D22" s="7" t="s">
        <v>1594</v>
      </c>
      <c r="E22" s="7" t="s">
        <v>1575</v>
      </c>
      <c r="F22" s="8"/>
      <c r="G22" s="8"/>
      <c r="H22" s="8"/>
      <c r="I22" s="7" t="s">
        <v>1521</v>
      </c>
      <c r="J22" s="7" t="s">
        <v>1595</v>
      </c>
      <c r="K22" s="7" t="s">
        <v>71</v>
      </c>
      <c r="L22" s="7" t="s">
        <v>72</v>
      </c>
      <c r="M22" s="7"/>
      <c r="N22" s="7"/>
    </row>
    <row r="23" spans="1:14" ht="23.25" customHeight="1" x14ac:dyDescent="0.2">
      <c r="A23" s="7" t="s">
        <v>246</v>
      </c>
      <c r="B23" s="7" t="s">
        <v>1596</v>
      </c>
      <c r="C23" s="7" t="s">
        <v>1597</v>
      </c>
      <c r="D23" s="7" t="s">
        <v>1598</v>
      </c>
      <c r="E23" s="7" t="s">
        <v>1599</v>
      </c>
      <c r="F23" s="8"/>
      <c r="G23" s="8"/>
      <c r="H23" s="8"/>
      <c r="I23" s="7" t="s">
        <v>1521</v>
      </c>
      <c r="J23" s="7" t="s">
        <v>1600</v>
      </c>
      <c r="K23" s="7" t="s">
        <v>71</v>
      </c>
      <c r="L23" s="7" t="s">
        <v>72</v>
      </c>
      <c r="M23" s="7"/>
      <c r="N23" s="7"/>
    </row>
    <row r="24" spans="1:14" ht="23.25" customHeight="1" x14ac:dyDescent="0.2">
      <c r="A24" s="7" t="s">
        <v>251</v>
      </c>
      <c r="B24" s="7" t="s">
        <v>1601</v>
      </c>
      <c r="C24" s="7" t="s">
        <v>1602</v>
      </c>
      <c r="D24" s="7" t="s">
        <v>1603</v>
      </c>
      <c r="E24" s="7" t="s">
        <v>1575</v>
      </c>
      <c r="F24" s="8" t="s">
        <v>67</v>
      </c>
      <c r="G24" s="8" t="s">
        <v>67</v>
      </c>
      <c r="H24" s="8"/>
      <c r="I24" s="7" t="s">
        <v>1604</v>
      </c>
      <c r="J24" s="7" t="s">
        <v>1605</v>
      </c>
      <c r="K24" s="7" t="s">
        <v>71</v>
      </c>
      <c r="L24" s="7" t="s">
        <v>72</v>
      </c>
      <c r="M24" s="7"/>
      <c r="N24" s="7"/>
    </row>
    <row r="25" spans="1:14" ht="34.5" customHeight="1" x14ac:dyDescent="0.2">
      <c r="A25" s="7" t="s">
        <v>1294</v>
      </c>
      <c r="B25" s="7" t="s">
        <v>1606</v>
      </c>
      <c r="C25" s="7" t="s">
        <v>1607</v>
      </c>
      <c r="D25" s="7" t="s">
        <v>1608</v>
      </c>
      <c r="E25" s="7" t="s">
        <v>1609</v>
      </c>
      <c r="F25" s="8" t="s">
        <v>67</v>
      </c>
      <c r="G25" s="8"/>
      <c r="H25" s="8"/>
      <c r="I25" s="7" t="s">
        <v>1610</v>
      </c>
      <c r="J25" s="7" t="s">
        <v>1611</v>
      </c>
      <c r="K25" s="7" t="s">
        <v>71</v>
      </c>
      <c r="L25" s="7" t="s">
        <v>72</v>
      </c>
      <c r="M25" s="7"/>
      <c r="N25" s="7"/>
    </row>
    <row r="26" spans="1:14" ht="15" customHeight="1" x14ac:dyDescent="0.2">
      <c r="A26" s="6" t="s">
        <v>1612</v>
      </c>
      <c r="B26" s="6" t="s">
        <v>1613</v>
      </c>
      <c r="C26" s="6"/>
      <c r="D26" s="6"/>
      <c r="E26" s="6"/>
      <c r="F26" s="6"/>
      <c r="G26" s="6"/>
      <c r="H26" s="6"/>
      <c r="I26" s="6"/>
      <c r="J26" s="6"/>
      <c r="K26" s="6"/>
      <c r="L26" s="6"/>
      <c r="M26" s="6"/>
      <c r="N26" s="6"/>
    </row>
    <row r="27" spans="1:14" ht="34.5" customHeight="1" x14ac:dyDescent="0.2">
      <c r="A27" s="7" t="s">
        <v>265</v>
      </c>
      <c r="B27" s="7" t="s">
        <v>1614</v>
      </c>
      <c r="C27" s="7" t="s">
        <v>1615</v>
      </c>
      <c r="D27" s="7" t="s">
        <v>1616</v>
      </c>
      <c r="E27" s="7" t="s">
        <v>1575</v>
      </c>
      <c r="F27" s="8"/>
      <c r="G27" s="8"/>
      <c r="H27" s="8"/>
      <c r="I27" s="7" t="s">
        <v>1521</v>
      </c>
      <c r="J27" s="7" t="s">
        <v>1617</v>
      </c>
      <c r="K27" s="7" t="s">
        <v>71</v>
      </c>
      <c r="L27" s="7" t="s">
        <v>72</v>
      </c>
      <c r="M27" s="7"/>
      <c r="N27" s="7"/>
    </row>
    <row r="28" spans="1:14" ht="34.5" customHeight="1" x14ac:dyDescent="0.2">
      <c r="A28" s="7" t="s">
        <v>84</v>
      </c>
      <c r="B28" s="7" t="s">
        <v>1618</v>
      </c>
      <c r="C28" s="7" t="s">
        <v>1619</v>
      </c>
      <c r="D28" s="7" t="s">
        <v>1620</v>
      </c>
      <c r="E28" s="7" t="s">
        <v>1621</v>
      </c>
      <c r="F28" s="8"/>
      <c r="G28" s="8" t="s">
        <v>67</v>
      </c>
      <c r="H28" s="8"/>
      <c r="I28" s="7" t="s">
        <v>1622</v>
      </c>
      <c r="J28" s="7" t="s">
        <v>1623</v>
      </c>
      <c r="K28" s="7" t="s">
        <v>71</v>
      </c>
      <c r="L28" s="7" t="s">
        <v>72</v>
      </c>
      <c r="M28" s="7"/>
      <c r="N28" s="7"/>
    </row>
    <row r="29" spans="1:14" ht="23.25" customHeight="1" x14ac:dyDescent="0.2">
      <c r="A29" s="7" t="s">
        <v>88</v>
      </c>
      <c r="B29" s="7" t="s">
        <v>1624</v>
      </c>
      <c r="C29" s="7" t="s">
        <v>1625</v>
      </c>
      <c r="D29" s="7" t="s">
        <v>1626</v>
      </c>
      <c r="E29" s="7" t="s">
        <v>1575</v>
      </c>
      <c r="F29" s="8"/>
      <c r="G29" s="8" t="s">
        <v>67</v>
      </c>
      <c r="H29" s="8"/>
      <c r="I29" s="7" t="s">
        <v>1627</v>
      </c>
      <c r="J29" s="7" t="s">
        <v>1628</v>
      </c>
      <c r="K29" s="7" t="s">
        <v>71</v>
      </c>
      <c r="L29" s="7" t="s">
        <v>72</v>
      </c>
      <c r="M29" s="7"/>
      <c r="N29" s="7"/>
    </row>
    <row r="30" spans="1:14" ht="34.5" customHeight="1" x14ac:dyDescent="0.2">
      <c r="A30" s="7" t="s">
        <v>271</v>
      </c>
      <c r="B30" s="7" t="s">
        <v>1543</v>
      </c>
      <c r="C30" s="7" t="s">
        <v>1629</v>
      </c>
      <c r="D30" s="7" t="s">
        <v>1630</v>
      </c>
      <c r="E30" s="7" t="s">
        <v>1631</v>
      </c>
      <c r="F30" s="8" t="s">
        <v>67</v>
      </c>
      <c r="G30" s="8"/>
      <c r="H30" s="8"/>
      <c r="I30" s="7" t="s">
        <v>1632</v>
      </c>
      <c r="J30" s="7" t="s">
        <v>1633</v>
      </c>
      <c r="K30" s="7" t="s">
        <v>71</v>
      </c>
      <c r="L30" s="7" t="s">
        <v>72</v>
      </c>
      <c r="M30" s="7"/>
      <c r="N30" s="7"/>
    </row>
    <row r="31" spans="1:14" ht="34.5" customHeight="1" x14ac:dyDescent="0.2">
      <c r="A31" s="7" t="s">
        <v>1362</v>
      </c>
      <c r="B31" s="7" t="s">
        <v>1634</v>
      </c>
      <c r="C31" s="7" t="s">
        <v>1635</v>
      </c>
      <c r="D31" s="7" t="s">
        <v>1636</v>
      </c>
      <c r="E31" s="7" t="s">
        <v>1637</v>
      </c>
      <c r="F31" s="8" t="s">
        <v>67</v>
      </c>
      <c r="G31" s="8" t="s">
        <v>67</v>
      </c>
      <c r="H31" s="8"/>
      <c r="I31" s="7" t="s">
        <v>1638</v>
      </c>
      <c r="J31" s="7" t="s">
        <v>1639</v>
      </c>
      <c r="K31" s="7" t="s">
        <v>71</v>
      </c>
      <c r="L31" s="7" t="s">
        <v>72</v>
      </c>
      <c r="M31" s="7"/>
      <c r="N31" s="7"/>
    </row>
    <row r="32" spans="1:14" ht="15" customHeight="1" x14ac:dyDescent="0.2">
      <c r="A32" s="6" t="s">
        <v>1640</v>
      </c>
      <c r="B32" s="6" t="s">
        <v>1641</v>
      </c>
      <c r="C32" s="6"/>
      <c r="D32" s="6"/>
      <c r="E32" s="6"/>
      <c r="F32" s="6"/>
      <c r="G32" s="6"/>
      <c r="H32" s="6"/>
      <c r="I32" s="6"/>
      <c r="J32" s="6"/>
      <c r="K32" s="6"/>
      <c r="L32" s="6"/>
      <c r="M32" s="6"/>
      <c r="N32" s="6"/>
    </row>
    <row r="33" spans="1:14" ht="23.25" customHeight="1" x14ac:dyDescent="0.2">
      <c r="A33" s="7" t="s">
        <v>275</v>
      </c>
      <c r="B33" s="7" t="s">
        <v>1642</v>
      </c>
      <c r="C33" s="7" t="s">
        <v>1643</v>
      </c>
      <c r="D33" s="7" t="s">
        <v>1644</v>
      </c>
      <c r="E33" s="7" t="s">
        <v>1645</v>
      </c>
      <c r="F33" s="8"/>
      <c r="G33" s="8"/>
      <c r="H33" s="8"/>
      <c r="I33" s="7" t="s">
        <v>1521</v>
      </c>
      <c r="J33" s="7" t="s">
        <v>1646</v>
      </c>
      <c r="K33" s="7" t="s">
        <v>71</v>
      </c>
      <c r="L33" s="7" t="s">
        <v>72</v>
      </c>
      <c r="M33" s="7"/>
      <c r="N33" s="7"/>
    </row>
    <row r="34" spans="1:14" ht="34.5" customHeight="1" x14ac:dyDescent="0.2">
      <c r="A34" s="7" t="s">
        <v>1647</v>
      </c>
      <c r="B34" s="7" t="s">
        <v>1648</v>
      </c>
      <c r="C34" s="7" t="s">
        <v>1649</v>
      </c>
      <c r="D34" s="7" t="s">
        <v>1650</v>
      </c>
      <c r="E34" s="7" t="s">
        <v>1651</v>
      </c>
      <c r="F34" s="8"/>
      <c r="G34" s="8"/>
      <c r="H34" s="8"/>
      <c r="I34" s="7" t="s">
        <v>1521</v>
      </c>
      <c r="J34" s="7" t="s">
        <v>1652</v>
      </c>
      <c r="K34" s="7" t="s">
        <v>71</v>
      </c>
      <c r="L34" s="7" t="s">
        <v>72</v>
      </c>
      <c r="M34" s="7"/>
      <c r="N34" s="7"/>
    </row>
    <row r="35" spans="1:14" ht="34.5" customHeight="1" x14ac:dyDescent="0.2">
      <c r="A35" s="7" t="s">
        <v>1653</v>
      </c>
      <c r="B35" s="7" t="s">
        <v>1654</v>
      </c>
      <c r="C35" s="7" t="s">
        <v>1655</v>
      </c>
      <c r="D35" s="7" t="s">
        <v>1656</v>
      </c>
      <c r="E35" s="7" t="s">
        <v>1657</v>
      </c>
      <c r="F35" s="8"/>
      <c r="G35" s="8"/>
      <c r="H35" s="8"/>
      <c r="I35" s="7" t="s">
        <v>1521</v>
      </c>
      <c r="J35" s="7" t="s">
        <v>1658</v>
      </c>
      <c r="K35" s="7" t="s">
        <v>71</v>
      </c>
      <c r="L35" s="7" t="s">
        <v>72</v>
      </c>
      <c r="M35" s="7"/>
      <c r="N35" s="7"/>
    </row>
    <row r="36" spans="1:14" ht="45.75" customHeight="1" x14ac:dyDescent="0.2">
      <c r="A36" s="7" t="s">
        <v>1659</v>
      </c>
      <c r="B36" s="7" t="s">
        <v>1660</v>
      </c>
      <c r="C36" s="7" t="s">
        <v>1661</v>
      </c>
      <c r="D36" s="7" t="s">
        <v>1662</v>
      </c>
      <c r="E36" s="7" t="s">
        <v>1663</v>
      </c>
      <c r="F36" s="8"/>
      <c r="G36" s="8"/>
      <c r="H36" s="8"/>
      <c r="I36" s="7" t="s">
        <v>1521</v>
      </c>
      <c r="J36" s="7" t="s">
        <v>1664</v>
      </c>
      <c r="K36" s="7" t="s">
        <v>71</v>
      </c>
      <c r="L36" s="7" t="s">
        <v>72</v>
      </c>
      <c r="M36" s="7"/>
      <c r="N36" s="7"/>
    </row>
    <row r="37" spans="1:14" ht="34.5" customHeight="1" x14ac:dyDescent="0.2">
      <c r="A37" s="7" t="s">
        <v>1665</v>
      </c>
      <c r="B37" s="7" t="s">
        <v>1666</v>
      </c>
      <c r="C37" s="7" t="s">
        <v>1667</v>
      </c>
      <c r="D37" s="7" t="s">
        <v>1668</v>
      </c>
      <c r="E37" s="7" t="s">
        <v>1575</v>
      </c>
      <c r="F37" s="8"/>
      <c r="G37" s="8" t="s">
        <v>67</v>
      </c>
      <c r="H37" s="8"/>
      <c r="I37" s="7" t="s">
        <v>1669</v>
      </c>
      <c r="J37" s="7" t="s">
        <v>1670</v>
      </c>
      <c r="K37" s="7" t="s">
        <v>71</v>
      </c>
      <c r="L37" s="7" t="s">
        <v>72</v>
      </c>
      <c r="M37" s="7"/>
      <c r="N37" s="7"/>
    </row>
    <row r="38" spans="1:14" ht="34.5" customHeight="1" x14ac:dyDescent="0.2">
      <c r="A38" s="7" t="s">
        <v>1671</v>
      </c>
      <c r="B38" s="7" t="s">
        <v>1672</v>
      </c>
      <c r="C38" s="7" t="s">
        <v>1673</v>
      </c>
      <c r="D38" s="7" t="s">
        <v>1674</v>
      </c>
      <c r="E38" s="7" t="s">
        <v>1675</v>
      </c>
      <c r="F38" s="8"/>
      <c r="G38" s="8"/>
      <c r="H38" s="8"/>
      <c r="I38" s="7" t="s">
        <v>1521</v>
      </c>
      <c r="J38" s="7" t="s">
        <v>1676</v>
      </c>
      <c r="K38" s="7" t="s">
        <v>71</v>
      </c>
      <c r="L38" s="7" t="s">
        <v>72</v>
      </c>
      <c r="M38" s="7"/>
      <c r="N38" s="7"/>
    </row>
    <row r="39" spans="1:14" ht="23.25" customHeight="1" x14ac:dyDescent="0.2">
      <c r="A39" s="7" t="s">
        <v>1677</v>
      </c>
      <c r="B39" s="7" t="s">
        <v>1678</v>
      </c>
      <c r="C39" s="7" t="s">
        <v>1679</v>
      </c>
      <c r="D39" s="7" t="s">
        <v>1680</v>
      </c>
      <c r="E39" s="7" t="s">
        <v>1575</v>
      </c>
      <c r="F39" s="8"/>
      <c r="G39" s="8"/>
      <c r="H39" s="8"/>
      <c r="I39" s="7" t="s">
        <v>1521</v>
      </c>
      <c r="J39" s="7" t="s">
        <v>1681</v>
      </c>
      <c r="K39" s="7" t="s">
        <v>71</v>
      </c>
      <c r="L39" s="7" t="s">
        <v>72</v>
      </c>
      <c r="M39" s="7"/>
      <c r="N39" s="7"/>
    </row>
    <row r="40" spans="1:14" ht="23.25" customHeight="1" x14ac:dyDescent="0.2">
      <c r="A40" s="7" t="s">
        <v>1682</v>
      </c>
      <c r="B40" s="7" t="s">
        <v>1683</v>
      </c>
      <c r="C40" s="7" t="s">
        <v>1684</v>
      </c>
      <c r="D40" s="7" t="s">
        <v>1685</v>
      </c>
      <c r="E40" s="7" t="s">
        <v>1686</v>
      </c>
      <c r="F40" s="8"/>
      <c r="G40" s="8"/>
      <c r="H40" s="8"/>
      <c r="I40" s="7" t="s">
        <v>1521</v>
      </c>
      <c r="J40" s="7" t="s">
        <v>1687</v>
      </c>
      <c r="K40" s="7" t="s">
        <v>71</v>
      </c>
      <c r="L40" s="7" t="s">
        <v>72</v>
      </c>
      <c r="M40" s="7"/>
      <c r="N40" s="7"/>
    </row>
    <row r="41" spans="1:14" ht="34.5" customHeight="1" x14ac:dyDescent="0.2">
      <c r="A41" s="7" t="s">
        <v>1688</v>
      </c>
      <c r="B41" s="7" t="s">
        <v>1689</v>
      </c>
      <c r="C41" s="7" t="s">
        <v>1690</v>
      </c>
      <c r="D41" s="7" t="s">
        <v>1691</v>
      </c>
      <c r="E41" s="7" t="s">
        <v>1692</v>
      </c>
      <c r="F41" s="8" t="s">
        <v>67</v>
      </c>
      <c r="G41" s="8" t="s">
        <v>67</v>
      </c>
      <c r="H41" s="8" t="s">
        <v>67</v>
      </c>
      <c r="I41" s="7" t="s">
        <v>1693</v>
      </c>
      <c r="J41" s="7" t="s">
        <v>1694</v>
      </c>
      <c r="K41" s="7" t="s">
        <v>71</v>
      </c>
      <c r="L41" s="7" t="s">
        <v>72</v>
      </c>
      <c r="M41" s="7"/>
      <c r="N41" s="7"/>
    </row>
    <row r="42" spans="1:14" ht="15" customHeight="1" x14ac:dyDescent="0.2">
      <c r="A42" s="6" t="s">
        <v>1695</v>
      </c>
      <c r="B42" s="6" t="s">
        <v>1696</v>
      </c>
      <c r="C42" s="6"/>
      <c r="D42" s="6"/>
      <c r="E42" s="6"/>
      <c r="F42" s="6"/>
      <c r="G42" s="6"/>
      <c r="H42" s="6"/>
      <c r="I42" s="6"/>
      <c r="J42" s="6"/>
      <c r="K42" s="6"/>
      <c r="L42" s="6"/>
      <c r="M42" s="6"/>
      <c r="N42" s="6"/>
    </row>
    <row r="43" spans="1:14" ht="23.25" customHeight="1" x14ac:dyDescent="0.2">
      <c r="A43" s="7" t="s">
        <v>301</v>
      </c>
      <c r="B43" s="7" t="s">
        <v>1697</v>
      </c>
      <c r="C43" s="7" t="s">
        <v>1698</v>
      </c>
      <c r="D43" s="7" t="s">
        <v>1699</v>
      </c>
      <c r="E43" s="7" t="s">
        <v>1575</v>
      </c>
      <c r="F43" s="8"/>
      <c r="G43" s="8"/>
      <c r="H43" s="8"/>
      <c r="I43" s="7" t="s">
        <v>1521</v>
      </c>
      <c r="J43" s="7" t="s">
        <v>1575</v>
      </c>
      <c r="K43" s="7" t="s">
        <v>71</v>
      </c>
      <c r="L43" s="7" t="s">
        <v>72</v>
      </c>
      <c r="M43" s="7"/>
      <c r="N43" s="7"/>
    </row>
    <row r="44" spans="1:14" ht="34.5" customHeight="1" x14ac:dyDescent="0.2">
      <c r="A44" s="7" t="s">
        <v>1700</v>
      </c>
      <c r="B44" s="7" t="s">
        <v>1701</v>
      </c>
      <c r="C44" s="7" t="s">
        <v>1702</v>
      </c>
      <c r="D44" s="7" t="s">
        <v>1703</v>
      </c>
      <c r="E44" s="7" t="s">
        <v>1575</v>
      </c>
      <c r="F44" s="8"/>
      <c r="G44" s="8"/>
      <c r="H44" s="8"/>
      <c r="I44" s="7" t="s">
        <v>1521</v>
      </c>
      <c r="J44" s="7" t="s">
        <v>1575</v>
      </c>
      <c r="K44" s="7" t="s">
        <v>71</v>
      </c>
      <c r="L44" s="7" t="s">
        <v>72</v>
      </c>
      <c r="M44" s="7"/>
      <c r="N44" s="7"/>
    </row>
    <row r="45" spans="1:14" ht="23.25" customHeight="1" x14ac:dyDescent="0.2">
      <c r="A45" s="7" t="s">
        <v>1704</v>
      </c>
      <c r="B45" s="7" t="s">
        <v>1705</v>
      </c>
      <c r="C45" s="7" t="s">
        <v>1706</v>
      </c>
      <c r="D45" s="7" t="s">
        <v>1703</v>
      </c>
      <c r="E45" s="7" t="s">
        <v>1575</v>
      </c>
      <c r="F45" s="8"/>
      <c r="G45" s="8"/>
      <c r="H45" s="8"/>
      <c r="I45" s="7" t="s">
        <v>1521</v>
      </c>
      <c r="J45" s="7" t="s">
        <v>1575</v>
      </c>
      <c r="K45" s="7" t="s">
        <v>71</v>
      </c>
      <c r="L45" s="7" t="s">
        <v>72</v>
      </c>
      <c r="M45" s="7"/>
      <c r="N45" s="7"/>
    </row>
    <row r="46" spans="1:14" ht="23.25" customHeight="1" x14ac:dyDescent="0.2">
      <c r="A46" s="7" t="s">
        <v>1707</v>
      </c>
      <c r="B46" s="7" t="s">
        <v>1708</v>
      </c>
      <c r="C46" s="7" t="s">
        <v>1709</v>
      </c>
      <c r="D46" s="7" t="s">
        <v>1710</v>
      </c>
      <c r="E46" s="7" t="s">
        <v>1711</v>
      </c>
      <c r="F46" s="8"/>
      <c r="G46" s="8" t="s">
        <v>67</v>
      </c>
      <c r="H46" s="8"/>
      <c r="I46" s="7" t="s">
        <v>1712</v>
      </c>
      <c r="J46" s="7" t="s">
        <v>1713</v>
      </c>
      <c r="K46" s="7" t="s">
        <v>71</v>
      </c>
      <c r="L46" s="7" t="s">
        <v>72</v>
      </c>
      <c r="M46" s="7"/>
      <c r="N46" s="7"/>
    </row>
    <row r="47" spans="1:14" ht="23.25" customHeight="1" x14ac:dyDescent="0.2">
      <c r="A47" s="7" t="s">
        <v>1714</v>
      </c>
      <c r="B47" s="7" t="s">
        <v>1715</v>
      </c>
      <c r="C47" s="7" t="s">
        <v>1716</v>
      </c>
      <c r="D47" s="7" t="s">
        <v>1717</v>
      </c>
      <c r="E47" s="7" t="s">
        <v>1718</v>
      </c>
      <c r="F47" s="8"/>
      <c r="G47" s="8" t="s">
        <v>67</v>
      </c>
      <c r="H47" s="8" t="s">
        <v>67</v>
      </c>
      <c r="I47" s="7" t="s">
        <v>1719</v>
      </c>
      <c r="J47" s="7" t="s">
        <v>1720</v>
      </c>
      <c r="K47" s="7" t="s">
        <v>71</v>
      </c>
      <c r="L47" s="7" t="s">
        <v>72</v>
      </c>
      <c r="M47" s="7"/>
      <c r="N47" s="7"/>
    </row>
    <row r="48" spans="1:14" ht="23.25" customHeight="1" x14ac:dyDescent="0.2">
      <c r="A48" s="7" t="s">
        <v>1721</v>
      </c>
      <c r="B48" s="7" t="s">
        <v>1722</v>
      </c>
      <c r="C48" s="7" t="s">
        <v>1723</v>
      </c>
      <c r="D48" s="7" t="s">
        <v>1724</v>
      </c>
      <c r="E48" s="7" t="s">
        <v>1725</v>
      </c>
      <c r="F48" s="8"/>
      <c r="G48" s="8"/>
      <c r="H48" s="8"/>
      <c r="I48" s="7" t="s">
        <v>1521</v>
      </c>
      <c r="J48" s="7" t="s">
        <v>1726</v>
      </c>
      <c r="K48" s="7" t="s">
        <v>71</v>
      </c>
      <c r="L48" s="7" t="s">
        <v>72</v>
      </c>
      <c r="M48" s="7"/>
      <c r="N48" s="7"/>
    </row>
    <row r="49" spans="1:14" ht="23.25" customHeight="1" x14ac:dyDescent="0.2">
      <c r="A49" s="7" t="s">
        <v>1727</v>
      </c>
      <c r="B49" s="7" t="s">
        <v>1728</v>
      </c>
      <c r="C49" s="7" t="s">
        <v>1729</v>
      </c>
      <c r="D49" s="7" t="s">
        <v>1730</v>
      </c>
      <c r="E49" s="7" t="s">
        <v>1651</v>
      </c>
      <c r="F49" s="8"/>
      <c r="G49" s="8"/>
      <c r="H49" s="8"/>
      <c r="I49" s="7" t="s">
        <v>1521</v>
      </c>
      <c r="J49" s="7" t="s">
        <v>1731</v>
      </c>
      <c r="K49" s="7" t="s">
        <v>71</v>
      </c>
      <c r="L49" s="7" t="s">
        <v>72</v>
      </c>
      <c r="M49" s="7"/>
      <c r="N49" s="7"/>
    </row>
    <row r="50" spans="1:14" ht="23.25" customHeight="1" x14ac:dyDescent="0.2">
      <c r="A50" s="7" t="s">
        <v>1732</v>
      </c>
      <c r="B50" s="7" t="s">
        <v>1733</v>
      </c>
      <c r="C50" s="7" t="s">
        <v>1734</v>
      </c>
      <c r="D50" s="7" t="s">
        <v>1735</v>
      </c>
      <c r="E50" s="7" t="s">
        <v>1553</v>
      </c>
      <c r="F50" s="8"/>
      <c r="G50" s="8"/>
      <c r="H50" s="8"/>
      <c r="I50" s="7" t="s">
        <v>1521</v>
      </c>
      <c r="J50" s="7" t="s">
        <v>1736</v>
      </c>
      <c r="K50" s="7" t="s">
        <v>71</v>
      </c>
      <c r="L50" s="7" t="s">
        <v>72</v>
      </c>
      <c r="M50" s="7"/>
      <c r="N50" s="7"/>
    </row>
    <row r="51" spans="1:14" ht="23.25" customHeight="1" x14ac:dyDescent="0.2">
      <c r="A51" s="7" t="s">
        <v>1737</v>
      </c>
      <c r="B51" s="7" t="s">
        <v>1738</v>
      </c>
      <c r="C51" s="7" t="s">
        <v>1739</v>
      </c>
      <c r="D51" s="7" t="s">
        <v>1740</v>
      </c>
      <c r="E51" s="7" t="s">
        <v>1741</v>
      </c>
      <c r="F51" s="8"/>
      <c r="G51" s="8"/>
      <c r="H51" s="8"/>
      <c r="I51" s="7" t="s">
        <v>1521</v>
      </c>
      <c r="J51" s="7" t="s">
        <v>1742</v>
      </c>
      <c r="K51" s="7" t="s">
        <v>71</v>
      </c>
      <c r="L51" s="7" t="s">
        <v>72</v>
      </c>
      <c r="M51" s="7"/>
      <c r="N51" s="7"/>
    </row>
    <row r="52" spans="1:14" ht="23.25" customHeight="1" x14ac:dyDescent="0.2">
      <c r="A52" s="7" t="s">
        <v>1743</v>
      </c>
      <c r="B52" s="7" t="s">
        <v>1744</v>
      </c>
      <c r="C52" s="7" t="s">
        <v>1745</v>
      </c>
      <c r="D52" s="7" t="s">
        <v>1703</v>
      </c>
      <c r="E52" s="7" t="s">
        <v>1575</v>
      </c>
      <c r="F52" s="8"/>
      <c r="G52" s="8"/>
      <c r="H52" s="8"/>
      <c r="I52" s="7" t="s">
        <v>1521</v>
      </c>
      <c r="J52" s="7" t="s">
        <v>1575</v>
      </c>
      <c r="K52" s="7" t="s">
        <v>71</v>
      </c>
      <c r="L52" s="7" t="s">
        <v>72</v>
      </c>
      <c r="M52" s="7"/>
      <c r="N52" s="7"/>
    </row>
  </sheetData>
  <autoFilter ref="A3:N52" xr:uid="{00000000-0009-0000-0000-00000A000000}"/>
  <conditionalFormatting sqref="L4:L52">
    <cfRule type="cellIs" dxfId="39" priority="2" operator="equal">
      <formula>"Implemented"</formula>
    </cfRule>
    <cfRule type="cellIs" dxfId="38" priority="3" operator="equal">
      <formula>"Verified"</formula>
    </cfRule>
    <cfRule type="cellIs" dxfId="37" priority="4" operator="equal">
      <formula>"In progress"</formula>
    </cfRule>
  </conditionalFormatting>
  <dataValidations count="2">
    <dataValidation type="list" allowBlank="1" sqref="K4:K52" xr:uid="{00000000-0002-0000-0A00-000000000000}">
      <formula1>"Yes,No"</formula1>
      <formula2>0</formula2>
    </dataValidation>
    <dataValidation type="list" allowBlank="1" sqref="L4:L52" xr:uid="{00000000-0002-0000-0A00-000001000000}">
      <formula1>"Not started,In progress,Implemented,Verified,Not applicable"</formula1>
      <formula2>0</formula2>
    </dataValidation>
  </dataValidations>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51"/>
  <sheetViews>
    <sheetView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5" x14ac:dyDescent="0.2"/>
  <cols>
    <col min="1" max="1" width="10" customWidth="1"/>
    <col min="2" max="2" width="42" customWidth="1"/>
    <col min="3" max="3" width="66" customWidth="1"/>
    <col min="4" max="6" width="5" customWidth="1"/>
    <col min="7" max="7" width="54" customWidth="1"/>
    <col min="8" max="8" width="40" customWidth="1"/>
    <col min="9" max="9" width="12" customWidth="1"/>
    <col min="10" max="11" width="14" customWidth="1"/>
    <col min="12" max="12" width="26" customWidth="1"/>
  </cols>
  <sheetData>
    <row r="1" spans="1:12" ht="17.25" customHeight="1" x14ac:dyDescent="0.2">
      <c r="A1" s="3" t="s">
        <v>1746</v>
      </c>
    </row>
    <row r="3" spans="1:12" ht="15" customHeight="1" x14ac:dyDescent="0.2">
      <c r="A3" s="25" t="s">
        <v>1747</v>
      </c>
      <c r="B3" s="25" t="s">
        <v>50</v>
      </c>
      <c r="C3" s="25" t="s">
        <v>173</v>
      </c>
      <c r="D3" s="25" t="s">
        <v>52</v>
      </c>
      <c r="E3" s="25" t="s">
        <v>53</v>
      </c>
      <c r="F3" s="25" t="s">
        <v>54</v>
      </c>
      <c r="G3" s="25" t="s">
        <v>544</v>
      </c>
      <c r="H3" s="25" t="s">
        <v>57</v>
      </c>
      <c r="I3" s="25" t="s">
        <v>545</v>
      </c>
      <c r="J3" s="25" t="s">
        <v>59</v>
      </c>
      <c r="K3" s="25" t="s">
        <v>60</v>
      </c>
      <c r="L3" s="25" t="s">
        <v>61</v>
      </c>
    </row>
    <row r="4" spans="1:12" ht="15" customHeight="1" x14ac:dyDescent="0.2">
      <c r="A4" s="6" t="s">
        <v>546</v>
      </c>
      <c r="B4" s="6" t="s">
        <v>547</v>
      </c>
      <c r="C4" s="6"/>
      <c r="D4" s="6"/>
      <c r="E4" s="6"/>
      <c r="F4" s="6"/>
      <c r="G4" s="6"/>
      <c r="H4" s="6"/>
      <c r="I4" s="6"/>
      <c r="J4" s="6"/>
      <c r="K4" s="6"/>
      <c r="L4" s="6"/>
    </row>
    <row r="5" spans="1:12" ht="34.5" customHeight="1" x14ac:dyDescent="0.2">
      <c r="A5" s="7" t="s">
        <v>1748</v>
      </c>
      <c r="B5" s="7" t="s">
        <v>1749</v>
      </c>
      <c r="C5" s="7" t="s">
        <v>1750</v>
      </c>
      <c r="D5" s="8"/>
      <c r="E5" s="8"/>
      <c r="F5" s="8"/>
      <c r="G5" s="7" t="s">
        <v>1751</v>
      </c>
      <c r="H5" s="7" t="s">
        <v>553</v>
      </c>
      <c r="I5" s="7" t="s">
        <v>71</v>
      </c>
      <c r="J5" s="7" t="s">
        <v>72</v>
      </c>
      <c r="K5" s="7"/>
      <c r="L5" s="7"/>
    </row>
    <row r="6" spans="1:12" ht="23.25" customHeight="1" x14ac:dyDescent="0.2">
      <c r="A6" s="7" t="s">
        <v>559</v>
      </c>
      <c r="B6" s="7" t="s">
        <v>555</v>
      </c>
      <c r="C6" s="7" t="s">
        <v>1752</v>
      </c>
      <c r="D6" s="8"/>
      <c r="E6" s="8"/>
      <c r="F6" s="8"/>
      <c r="G6" s="7" t="s">
        <v>1751</v>
      </c>
      <c r="H6" s="7" t="s">
        <v>558</v>
      </c>
      <c r="I6" s="7" t="s">
        <v>71</v>
      </c>
      <c r="J6" s="7" t="s">
        <v>72</v>
      </c>
      <c r="K6" s="7"/>
      <c r="L6" s="7"/>
    </row>
    <row r="7" spans="1:12" ht="15" customHeight="1" x14ac:dyDescent="0.2">
      <c r="A7" s="6" t="s">
        <v>564</v>
      </c>
      <c r="B7" s="6" t="s">
        <v>1753</v>
      </c>
      <c r="C7" s="6"/>
      <c r="D7" s="6"/>
      <c r="E7" s="6"/>
      <c r="F7" s="6"/>
      <c r="G7" s="6"/>
      <c r="H7" s="6"/>
      <c r="I7" s="6"/>
      <c r="J7" s="6"/>
      <c r="K7" s="6"/>
      <c r="L7" s="6"/>
    </row>
    <row r="8" spans="1:12" ht="45.75" customHeight="1" x14ac:dyDescent="0.2">
      <c r="A8" s="7" t="s">
        <v>1754</v>
      </c>
      <c r="B8" s="7" t="s">
        <v>1755</v>
      </c>
      <c r="C8" s="7" t="s">
        <v>1756</v>
      </c>
      <c r="D8" s="8" t="s">
        <v>67</v>
      </c>
      <c r="E8" s="8" t="s">
        <v>67</v>
      </c>
      <c r="F8" s="8"/>
      <c r="G8" s="7" t="s">
        <v>1757</v>
      </c>
      <c r="H8" s="7" t="s">
        <v>1758</v>
      </c>
      <c r="I8" s="7" t="s">
        <v>71</v>
      </c>
      <c r="J8" s="7" t="s">
        <v>72</v>
      </c>
      <c r="K8" s="7"/>
      <c r="L8" s="7"/>
    </row>
    <row r="9" spans="1:12" ht="23.25" customHeight="1" x14ac:dyDescent="0.2">
      <c r="A9" s="7" t="s">
        <v>1759</v>
      </c>
      <c r="B9" s="7" t="s">
        <v>768</v>
      </c>
      <c r="C9" s="7" t="s">
        <v>1760</v>
      </c>
      <c r="D9" s="8"/>
      <c r="E9" s="8"/>
      <c r="F9" s="8"/>
      <c r="G9" s="7" t="s">
        <v>1751</v>
      </c>
      <c r="H9" s="7" t="s">
        <v>1761</v>
      </c>
      <c r="I9" s="7" t="s">
        <v>71</v>
      </c>
      <c r="J9" s="7" t="s">
        <v>72</v>
      </c>
      <c r="K9" s="7"/>
      <c r="L9" s="7"/>
    </row>
    <row r="10" spans="1:12" ht="23.25" customHeight="1" x14ac:dyDescent="0.2">
      <c r="A10" s="7" t="s">
        <v>573</v>
      </c>
      <c r="B10" s="7" t="s">
        <v>1762</v>
      </c>
      <c r="C10" s="7" t="s">
        <v>1763</v>
      </c>
      <c r="D10" s="8"/>
      <c r="E10" s="8"/>
      <c r="F10" s="8"/>
      <c r="G10" s="7" t="s">
        <v>1751</v>
      </c>
      <c r="H10" s="7" t="s">
        <v>1764</v>
      </c>
      <c r="I10" s="7" t="s">
        <v>71</v>
      </c>
      <c r="J10" s="7" t="s">
        <v>72</v>
      </c>
      <c r="K10" s="7"/>
      <c r="L10" s="7"/>
    </row>
    <row r="11" spans="1:12" ht="23.25" customHeight="1" x14ac:dyDescent="0.2">
      <c r="A11" s="7" t="s">
        <v>578</v>
      </c>
      <c r="B11" s="7" t="s">
        <v>1765</v>
      </c>
      <c r="C11" s="7" t="s">
        <v>1766</v>
      </c>
      <c r="D11" s="8"/>
      <c r="E11" s="8"/>
      <c r="F11" s="8"/>
      <c r="G11" s="7" t="s">
        <v>1751</v>
      </c>
      <c r="H11" s="7" t="s">
        <v>1767</v>
      </c>
      <c r="I11" s="7" t="s">
        <v>71</v>
      </c>
      <c r="J11" s="7" t="s">
        <v>72</v>
      </c>
      <c r="K11" s="7"/>
      <c r="L11" s="7"/>
    </row>
    <row r="12" spans="1:12" ht="23.25" customHeight="1" x14ac:dyDescent="0.2">
      <c r="A12" s="7" t="s">
        <v>585</v>
      </c>
      <c r="B12" s="7" t="s">
        <v>1768</v>
      </c>
      <c r="C12" s="7" t="s">
        <v>1769</v>
      </c>
      <c r="D12" s="8"/>
      <c r="E12" s="8"/>
      <c r="F12" s="8"/>
      <c r="G12" s="7" t="s">
        <v>1751</v>
      </c>
      <c r="H12" s="7" t="s">
        <v>1770</v>
      </c>
      <c r="I12" s="7" t="s">
        <v>71</v>
      </c>
      <c r="J12" s="7" t="s">
        <v>72</v>
      </c>
      <c r="K12" s="7"/>
      <c r="L12" s="7"/>
    </row>
    <row r="13" spans="1:12" ht="23.25" customHeight="1" x14ac:dyDescent="0.2">
      <c r="A13" s="7" t="s">
        <v>590</v>
      </c>
      <c r="B13" s="7" t="s">
        <v>1771</v>
      </c>
      <c r="C13" s="7" t="s">
        <v>1772</v>
      </c>
      <c r="D13" s="8" t="s">
        <v>67</v>
      </c>
      <c r="E13" s="8"/>
      <c r="F13" s="8"/>
      <c r="G13" s="7" t="s">
        <v>1773</v>
      </c>
      <c r="H13" s="7" t="s">
        <v>1774</v>
      </c>
      <c r="I13" s="7" t="s">
        <v>71</v>
      </c>
      <c r="J13" s="7" t="s">
        <v>72</v>
      </c>
      <c r="K13" s="7"/>
      <c r="L13" s="7"/>
    </row>
    <row r="14" spans="1:12" ht="23.25" customHeight="1" x14ac:dyDescent="0.2">
      <c r="A14" s="7" t="s">
        <v>596</v>
      </c>
      <c r="B14" s="7" t="s">
        <v>1775</v>
      </c>
      <c r="C14" s="7" t="s">
        <v>1776</v>
      </c>
      <c r="D14" s="8" t="s">
        <v>67</v>
      </c>
      <c r="E14" s="8"/>
      <c r="F14" s="8"/>
      <c r="G14" s="7" t="s">
        <v>1777</v>
      </c>
      <c r="H14" s="7" t="s">
        <v>1778</v>
      </c>
      <c r="I14" s="7" t="s">
        <v>71</v>
      </c>
      <c r="J14" s="7" t="s">
        <v>72</v>
      </c>
      <c r="K14" s="7"/>
      <c r="L14" s="7"/>
    </row>
    <row r="15" spans="1:12" ht="15" customHeight="1" x14ac:dyDescent="0.2">
      <c r="A15" s="6" t="s">
        <v>1779</v>
      </c>
      <c r="B15" s="6" t="s">
        <v>1780</v>
      </c>
      <c r="C15" s="6"/>
      <c r="D15" s="6"/>
      <c r="E15" s="6"/>
      <c r="F15" s="6"/>
      <c r="G15" s="6"/>
      <c r="H15" s="6"/>
      <c r="I15" s="6"/>
      <c r="J15" s="6"/>
      <c r="K15" s="6"/>
      <c r="L15" s="6"/>
    </row>
    <row r="16" spans="1:12" ht="23.25" customHeight="1" x14ac:dyDescent="0.2">
      <c r="A16" s="7" t="s">
        <v>1781</v>
      </c>
      <c r="B16" s="7" t="s">
        <v>1782</v>
      </c>
      <c r="C16" s="7" t="s">
        <v>1783</v>
      </c>
      <c r="D16" s="8"/>
      <c r="E16" s="8"/>
      <c r="F16" s="8"/>
      <c r="G16" s="7" t="s">
        <v>1751</v>
      </c>
      <c r="H16" s="7" t="s">
        <v>1784</v>
      </c>
      <c r="I16" s="7" t="s">
        <v>71</v>
      </c>
      <c r="J16" s="7" t="s">
        <v>72</v>
      </c>
      <c r="K16" s="7"/>
      <c r="L16" s="7"/>
    </row>
    <row r="17" spans="1:12" ht="23.25" customHeight="1" x14ac:dyDescent="0.2">
      <c r="A17" s="7" t="s">
        <v>623</v>
      </c>
      <c r="B17" s="7" t="s">
        <v>1785</v>
      </c>
      <c r="C17" s="7" t="s">
        <v>1786</v>
      </c>
      <c r="D17" s="8"/>
      <c r="E17" s="8"/>
      <c r="F17" s="8"/>
      <c r="G17" s="7" t="s">
        <v>1751</v>
      </c>
      <c r="H17" s="7" t="s">
        <v>1787</v>
      </c>
      <c r="I17" s="7" t="s">
        <v>71</v>
      </c>
      <c r="J17" s="7" t="s">
        <v>72</v>
      </c>
      <c r="K17" s="7"/>
      <c r="L17" s="7"/>
    </row>
    <row r="18" spans="1:12" ht="23.25" customHeight="1" x14ac:dyDescent="0.2">
      <c r="A18" s="7" t="s">
        <v>631</v>
      </c>
      <c r="B18" s="7" t="s">
        <v>1788</v>
      </c>
      <c r="C18" s="7" t="s">
        <v>1789</v>
      </c>
      <c r="D18" s="8"/>
      <c r="E18" s="8" t="s">
        <v>67</v>
      </c>
      <c r="F18" s="8"/>
      <c r="G18" s="7" t="s">
        <v>1790</v>
      </c>
      <c r="H18" s="7" t="s">
        <v>1791</v>
      </c>
      <c r="I18" s="7" t="s">
        <v>71</v>
      </c>
      <c r="J18" s="7" t="s">
        <v>72</v>
      </c>
      <c r="K18" s="7"/>
      <c r="L18" s="7"/>
    </row>
    <row r="19" spans="1:12" ht="23.25" customHeight="1" x14ac:dyDescent="0.2">
      <c r="A19" s="7" t="s">
        <v>636</v>
      </c>
      <c r="B19" s="7" t="s">
        <v>1792</v>
      </c>
      <c r="C19" s="7" t="s">
        <v>1793</v>
      </c>
      <c r="D19" s="8"/>
      <c r="E19" s="8"/>
      <c r="F19" s="8"/>
      <c r="G19" s="7" t="s">
        <v>1751</v>
      </c>
      <c r="H19" s="7" t="s">
        <v>1794</v>
      </c>
      <c r="I19" s="7" t="s">
        <v>71</v>
      </c>
      <c r="J19" s="7" t="s">
        <v>72</v>
      </c>
      <c r="K19" s="7"/>
      <c r="L19" s="7"/>
    </row>
    <row r="20" spans="1:12" ht="23.25" customHeight="1" x14ac:dyDescent="0.2">
      <c r="A20" s="7" t="s">
        <v>641</v>
      </c>
      <c r="B20" s="7" t="s">
        <v>1795</v>
      </c>
      <c r="C20" s="7" t="s">
        <v>1796</v>
      </c>
      <c r="D20" s="8"/>
      <c r="E20" s="8"/>
      <c r="F20" s="8"/>
      <c r="G20" s="7" t="s">
        <v>1751</v>
      </c>
      <c r="H20" s="7" t="s">
        <v>1797</v>
      </c>
      <c r="I20" s="7" t="s">
        <v>71</v>
      </c>
      <c r="J20" s="7" t="s">
        <v>72</v>
      </c>
      <c r="K20" s="7"/>
      <c r="L20" s="7"/>
    </row>
    <row r="21" spans="1:12" ht="23.25" customHeight="1" x14ac:dyDescent="0.2">
      <c r="A21" s="7" t="s">
        <v>646</v>
      </c>
      <c r="B21" s="7" t="s">
        <v>1798</v>
      </c>
      <c r="C21" s="7" t="s">
        <v>1799</v>
      </c>
      <c r="D21" s="8"/>
      <c r="E21" s="8"/>
      <c r="F21" s="8"/>
      <c r="G21" s="7" t="s">
        <v>1751</v>
      </c>
      <c r="H21" s="7" t="s">
        <v>1800</v>
      </c>
      <c r="I21" s="7" t="s">
        <v>71</v>
      </c>
      <c r="J21" s="7" t="s">
        <v>72</v>
      </c>
      <c r="K21" s="7"/>
      <c r="L21" s="7"/>
    </row>
    <row r="22" spans="1:12" ht="23.25" customHeight="1" x14ac:dyDescent="0.2">
      <c r="A22" s="7" t="s">
        <v>652</v>
      </c>
      <c r="B22" s="7" t="s">
        <v>1801</v>
      </c>
      <c r="C22" s="7" t="s">
        <v>1802</v>
      </c>
      <c r="D22" s="8"/>
      <c r="E22" s="8"/>
      <c r="F22" s="8"/>
      <c r="G22" s="7" t="s">
        <v>1751</v>
      </c>
      <c r="H22" s="7" t="s">
        <v>1803</v>
      </c>
      <c r="I22" s="7" t="s">
        <v>71</v>
      </c>
      <c r="J22" s="7" t="s">
        <v>72</v>
      </c>
      <c r="K22" s="7"/>
      <c r="L22" s="7"/>
    </row>
    <row r="23" spans="1:12" ht="23.25" customHeight="1" x14ac:dyDescent="0.2">
      <c r="A23" s="7" t="s">
        <v>657</v>
      </c>
      <c r="B23" s="7" t="s">
        <v>1804</v>
      </c>
      <c r="C23" s="7" t="s">
        <v>1805</v>
      </c>
      <c r="D23" s="8"/>
      <c r="E23" s="8"/>
      <c r="F23" s="8"/>
      <c r="G23" s="7" t="s">
        <v>1751</v>
      </c>
      <c r="H23" s="7" t="s">
        <v>1806</v>
      </c>
      <c r="I23" s="7" t="s">
        <v>71</v>
      </c>
      <c r="J23" s="7" t="s">
        <v>72</v>
      </c>
      <c r="K23" s="7"/>
      <c r="L23" s="7"/>
    </row>
    <row r="24" spans="1:12" ht="34.5" customHeight="1" x14ac:dyDescent="0.2">
      <c r="A24" s="7" t="s">
        <v>663</v>
      </c>
      <c r="B24" s="7" t="s">
        <v>1807</v>
      </c>
      <c r="C24" s="7" t="s">
        <v>1808</v>
      </c>
      <c r="D24" s="8"/>
      <c r="E24" s="8"/>
      <c r="F24" s="8"/>
      <c r="G24" s="7" t="s">
        <v>1751</v>
      </c>
      <c r="H24" s="7" t="s">
        <v>1809</v>
      </c>
      <c r="I24" s="7" t="s">
        <v>71</v>
      </c>
      <c r="J24" s="7" t="s">
        <v>72</v>
      </c>
      <c r="K24" s="7"/>
      <c r="L24" s="7"/>
    </row>
    <row r="25" spans="1:12" ht="15" customHeight="1" x14ac:dyDescent="0.2">
      <c r="A25" s="6" t="s">
        <v>1810</v>
      </c>
      <c r="B25" s="6" t="s">
        <v>1811</v>
      </c>
      <c r="C25" s="6"/>
      <c r="D25" s="6"/>
      <c r="E25" s="6"/>
      <c r="F25" s="6"/>
      <c r="G25" s="6"/>
      <c r="H25" s="6"/>
      <c r="I25" s="6"/>
      <c r="J25" s="6"/>
      <c r="K25" s="6"/>
      <c r="L25" s="6"/>
    </row>
    <row r="26" spans="1:12" ht="23.25" customHeight="1" x14ac:dyDescent="0.2">
      <c r="A26" s="7" t="s">
        <v>673</v>
      </c>
      <c r="B26" s="7" t="s">
        <v>1812</v>
      </c>
      <c r="C26" s="7" t="s">
        <v>1813</v>
      </c>
      <c r="D26" s="8" t="s">
        <v>67</v>
      </c>
      <c r="E26" s="8" t="s">
        <v>67</v>
      </c>
      <c r="F26" s="8" t="s">
        <v>67</v>
      </c>
      <c r="G26" s="7" t="s">
        <v>1814</v>
      </c>
      <c r="H26" s="7" t="s">
        <v>1815</v>
      </c>
      <c r="I26" s="7" t="s">
        <v>71</v>
      </c>
      <c r="J26" s="7" t="s">
        <v>72</v>
      </c>
      <c r="K26" s="7"/>
      <c r="L26" s="7"/>
    </row>
    <row r="27" spans="1:12" ht="34.5" customHeight="1" x14ac:dyDescent="0.2">
      <c r="A27" s="7" t="s">
        <v>678</v>
      </c>
      <c r="B27" s="7" t="s">
        <v>1816</v>
      </c>
      <c r="C27" s="7" t="s">
        <v>1817</v>
      </c>
      <c r="D27" s="8" t="s">
        <v>67</v>
      </c>
      <c r="E27" s="8"/>
      <c r="F27" s="8"/>
      <c r="G27" s="7" t="s">
        <v>1818</v>
      </c>
      <c r="H27" s="7" t="s">
        <v>1819</v>
      </c>
      <c r="I27" s="7" t="s">
        <v>71</v>
      </c>
      <c r="J27" s="7" t="s">
        <v>72</v>
      </c>
      <c r="K27" s="7"/>
      <c r="L27" s="7"/>
    </row>
    <row r="28" spans="1:12" ht="23.25" customHeight="1" x14ac:dyDescent="0.2">
      <c r="A28" s="7" t="s">
        <v>684</v>
      </c>
      <c r="B28" s="7" t="s">
        <v>1820</v>
      </c>
      <c r="C28" s="7" t="s">
        <v>1821</v>
      </c>
      <c r="D28" s="8"/>
      <c r="E28" s="8"/>
      <c r="F28" s="8"/>
      <c r="G28" s="7" t="s">
        <v>1751</v>
      </c>
      <c r="H28" s="7" t="s">
        <v>1822</v>
      </c>
      <c r="I28" s="7" t="s">
        <v>71</v>
      </c>
      <c r="J28" s="7" t="s">
        <v>72</v>
      </c>
      <c r="K28" s="7"/>
      <c r="L28" s="7"/>
    </row>
    <row r="29" spans="1:12" ht="23.25" customHeight="1" x14ac:dyDescent="0.2">
      <c r="A29" s="7" t="s">
        <v>690</v>
      </c>
      <c r="B29" s="7" t="s">
        <v>1823</v>
      </c>
      <c r="C29" s="7" t="s">
        <v>1824</v>
      </c>
      <c r="D29" s="8"/>
      <c r="E29" s="8"/>
      <c r="F29" s="8"/>
      <c r="G29" s="7" t="s">
        <v>1751</v>
      </c>
      <c r="H29" s="7" t="s">
        <v>1825</v>
      </c>
      <c r="I29" s="7" t="s">
        <v>71</v>
      </c>
      <c r="J29" s="7" t="s">
        <v>72</v>
      </c>
      <c r="K29" s="7"/>
      <c r="L29" s="7"/>
    </row>
    <row r="30" spans="1:12" ht="34.5" customHeight="1" x14ac:dyDescent="0.2">
      <c r="A30" s="7" t="s">
        <v>1826</v>
      </c>
      <c r="B30" s="7" t="s">
        <v>1827</v>
      </c>
      <c r="C30" s="7" t="s">
        <v>1828</v>
      </c>
      <c r="D30" s="8" t="s">
        <v>67</v>
      </c>
      <c r="E30" s="8" t="s">
        <v>67</v>
      </c>
      <c r="F30" s="8" t="s">
        <v>67</v>
      </c>
      <c r="G30" s="7" t="s">
        <v>1829</v>
      </c>
      <c r="H30" s="7" t="s">
        <v>1830</v>
      </c>
      <c r="I30" s="7" t="s">
        <v>71</v>
      </c>
      <c r="J30" s="7" t="s">
        <v>72</v>
      </c>
      <c r="K30" s="7"/>
      <c r="L30" s="7"/>
    </row>
    <row r="31" spans="1:12" ht="23.25" customHeight="1" x14ac:dyDescent="0.2">
      <c r="A31" s="7" t="s">
        <v>1831</v>
      </c>
      <c r="B31" s="7" t="s">
        <v>1832</v>
      </c>
      <c r="C31" s="7" t="s">
        <v>1833</v>
      </c>
      <c r="D31" s="8" t="s">
        <v>67</v>
      </c>
      <c r="E31" s="8"/>
      <c r="F31" s="8"/>
      <c r="G31" s="7" t="s">
        <v>1834</v>
      </c>
      <c r="H31" s="7" t="s">
        <v>1835</v>
      </c>
      <c r="I31" s="7" t="s">
        <v>71</v>
      </c>
      <c r="J31" s="7" t="s">
        <v>72</v>
      </c>
      <c r="K31" s="7"/>
      <c r="L31" s="7"/>
    </row>
    <row r="32" spans="1:12" ht="23.25" customHeight="1" x14ac:dyDescent="0.2">
      <c r="A32" s="7" t="s">
        <v>1836</v>
      </c>
      <c r="B32" s="7" t="s">
        <v>1837</v>
      </c>
      <c r="C32" s="7" t="s">
        <v>1838</v>
      </c>
      <c r="D32" s="8"/>
      <c r="E32" s="8"/>
      <c r="F32" s="8"/>
      <c r="G32" s="7" t="s">
        <v>1751</v>
      </c>
      <c r="H32" s="7" t="s">
        <v>1839</v>
      </c>
      <c r="I32" s="7" t="s">
        <v>71</v>
      </c>
      <c r="J32" s="7" t="s">
        <v>72</v>
      </c>
      <c r="K32" s="7"/>
      <c r="L32" s="7"/>
    </row>
    <row r="33" spans="1:12" ht="23.25" customHeight="1" x14ac:dyDescent="0.2">
      <c r="A33" s="7" t="s">
        <v>1840</v>
      </c>
      <c r="B33" s="7" t="s">
        <v>1841</v>
      </c>
      <c r="C33" s="7" t="s">
        <v>1842</v>
      </c>
      <c r="D33" s="8"/>
      <c r="E33" s="8"/>
      <c r="F33" s="8"/>
      <c r="G33" s="7" t="s">
        <v>1751</v>
      </c>
      <c r="H33" s="7" t="s">
        <v>1843</v>
      </c>
      <c r="I33" s="7" t="s">
        <v>71</v>
      </c>
      <c r="J33" s="7" t="s">
        <v>72</v>
      </c>
      <c r="K33" s="7"/>
      <c r="L33" s="7"/>
    </row>
    <row r="34" spans="1:12" ht="15" customHeight="1" x14ac:dyDescent="0.2">
      <c r="A34" s="6" t="s">
        <v>1844</v>
      </c>
      <c r="B34" s="6" t="s">
        <v>1845</v>
      </c>
      <c r="C34" s="6"/>
      <c r="D34" s="6"/>
      <c r="E34" s="6"/>
      <c r="F34" s="6"/>
      <c r="G34" s="6"/>
      <c r="H34" s="6"/>
      <c r="I34" s="6"/>
      <c r="J34" s="6"/>
      <c r="K34" s="6"/>
      <c r="L34" s="6"/>
    </row>
    <row r="35" spans="1:12" ht="45.75" customHeight="1" x14ac:dyDescent="0.2">
      <c r="A35" s="7" t="s">
        <v>1846</v>
      </c>
      <c r="B35" s="7" t="s">
        <v>1847</v>
      </c>
      <c r="C35" s="7" t="s">
        <v>1848</v>
      </c>
      <c r="D35" s="8" t="s">
        <v>67</v>
      </c>
      <c r="E35" s="8" t="s">
        <v>67</v>
      </c>
      <c r="F35" s="8" t="s">
        <v>67</v>
      </c>
      <c r="G35" s="7" t="s">
        <v>1849</v>
      </c>
      <c r="H35" s="7" t="s">
        <v>1850</v>
      </c>
      <c r="I35" s="7" t="s">
        <v>71</v>
      </c>
      <c r="J35" s="7" t="s">
        <v>72</v>
      </c>
      <c r="K35" s="7"/>
      <c r="L35" s="7"/>
    </row>
    <row r="36" spans="1:12" ht="34.5" customHeight="1" x14ac:dyDescent="0.2">
      <c r="A36" s="7" t="s">
        <v>1851</v>
      </c>
      <c r="B36" s="7" t="s">
        <v>1852</v>
      </c>
      <c r="C36" s="7" t="s">
        <v>1853</v>
      </c>
      <c r="D36" s="8" t="s">
        <v>67</v>
      </c>
      <c r="E36" s="8" t="s">
        <v>67</v>
      </c>
      <c r="F36" s="8" t="s">
        <v>67</v>
      </c>
      <c r="G36" s="7" t="s">
        <v>1854</v>
      </c>
      <c r="H36" s="7" t="s">
        <v>1855</v>
      </c>
      <c r="I36" s="7" t="s">
        <v>71</v>
      </c>
      <c r="J36" s="7" t="s">
        <v>72</v>
      </c>
      <c r="K36" s="7"/>
      <c r="L36" s="7"/>
    </row>
    <row r="37" spans="1:12" ht="23.25" customHeight="1" x14ac:dyDescent="0.2">
      <c r="A37" s="7" t="s">
        <v>1856</v>
      </c>
      <c r="B37" s="7" t="s">
        <v>1857</v>
      </c>
      <c r="C37" s="7" t="s">
        <v>1858</v>
      </c>
      <c r="D37" s="8" t="s">
        <v>67</v>
      </c>
      <c r="E37" s="8" t="s">
        <v>67</v>
      </c>
      <c r="F37" s="8" t="s">
        <v>67</v>
      </c>
      <c r="G37" s="7" t="s">
        <v>1859</v>
      </c>
      <c r="H37" s="7" t="s">
        <v>1860</v>
      </c>
      <c r="I37" s="7" t="s">
        <v>71</v>
      </c>
      <c r="J37" s="7" t="s">
        <v>72</v>
      </c>
      <c r="K37" s="7"/>
      <c r="L37" s="7"/>
    </row>
    <row r="38" spans="1:12" ht="15" customHeight="1" x14ac:dyDescent="0.2">
      <c r="A38" s="6" t="s">
        <v>1861</v>
      </c>
      <c r="B38" s="6" t="s">
        <v>1862</v>
      </c>
      <c r="C38" s="6"/>
      <c r="D38" s="6"/>
      <c r="E38" s="6"/>
      <c r="F38" s="6"/>
      <c r="G38" s="6"/>
      <c r="H38" s="6"/>
      <c r="I38" s="6"/>
      <c r="J38" s="6"/>
      <c r="K38" s="6"/>
      <c r="L38" s="6"/>
    </row>
    <row r="39" spans="1:12" ht="45.75" customHeight="1" x14ac:dyDescent="0.2">
      <c r="A39" s="7" t="s">
        <v>1863</v>
      </c>
      <c r="B39" s="7" t="s">
        <v>1864</v>
      </c>
      <c r="C39" s="7" t="s">
        <v>1865</v>
      </c>
      <c r="D39" s="8" t="s">
        <v>67</v>
      </c>
      <c r="E39" s="8"/>
      <c r="F39" s="8"/>
      <c r="G39" s="7" t="s">
        <v>1866</v>
      </c>
      <c r="H39" s="7" t="s">
        <v>1867</v>
      </c>
      <c r="I39" s="7" t="s">
        <v>71</v>
      </c>
      <c r="J39" s="7" t="s">
        <v>72</v>
      </c>
      <c r="K39" s="7"/>
      <c r="L39" s="7"/>
    </row>
    <row r="40" spans="1:12" ht="23.25" customHeight="1" x14ac:dyDescent="0.2">
      <c r="A40" s="7" t="s">
        <v>1868</v>
      </c>
      <c r="B40" s="7" t="s">
        <v>1869</v>
      </c>
      <c r="C40" s="7" t="s">
        <v>1870</v>
      </c>
      <c r="D40" s="8"/>
      <c r="E40" s="8"/>
      <c r="F40" s="8"/>
      <c r="G40" s="7" t="s">
        <v>1751</v>
      </c>
      <c r="H40" s="7" t="s">
        <v>1871</v>
      </c>
      <c r="I40" s="7" t="s">
        <v>71</v>
      </c>
      <c r="J40" s="7" t="s">
        <v>72</v>
      </c>
      <c r="K40" s="7"/>
      <c r="L40" s="7"/>
    </row>
    <row r="41" spans="1:12" ht="15" customHeight="1" x14ac:dyDescent="0.2">
      <c r="A41" s="6" t="s">
        <v>1872</v>
      </c>
      <c r="B41" s="6" t="s">
        <v>1873</v>
      </c>
      <c r="C41" s="6"/>
      <c r="D41" s="6"/>
      <c r="E41" s="6"/>
      <c r="F41" s="6"/>
      <c r="G41" s="6"/>
      <c r="H41" s="6"/>
      <c r="I41" s="6"/>
      <c r="J41" s="6"/>
      <c r="K41" s="6"/>
      <c r="L41" s="6"/>
    </row>
    <row r="42" spans="1:12" ht="34.5" customHeight="1" x14ac:dyDescent="0.2">
      <c r="A42" s="7" t="s">
        <v>1874</v>
      </c>
      <c r="B42" s="7" t="s">
        <v>1875</v>
      </c>
      <c r="C42" s="7" t="s">
        <v>1876</v>
      </c>
      <c r="D42" s="8"/>
      <c r="E42" s="8"/>
      <c r="F42" s="8"/>
      <c r="G42" s="7" t="s">
        <v>1751</v>
      </c>
      <c r="H42" s="7" t="s">
        <v>1877</v>
      </c>
      <c r="I42" s="7" t="s">
        <v>71</v>
      </c>
      <c r="J42" s="7" t="s">
        <v>72</v>
      </c>
      <c r="K42" s="7"/>
      <c r="L42" s="7"/>
    </row>
    <row r="43" spans="1:12" ht="23.25" customHeight="1" x14ac:dyDescent="0.2">
      <c r="A43" s="7" t="s">
        <v>1878</v>
      </c>
      <c r="B43" s="7" t="s">
        <v>1879</v>
      </c>
      <c r="C43" s="7" t="s">
        <v>1880</v>
      </c>
      <c r="D43" s="8"/>
      <c r="E43" s="8"/>
      <c r="F43" s="8"/>
      <c r="G43" s="7" t="s">
        <v>1751</v>
      </c>
      <c r="H43" s="7" t="s">
        <v>1881</v>
      </c>
      <c r="I43" s="7" t="s">
        <v>71</v>
      </c>
      <c r="J43" s="7" t="s">
        <v>72</v>
      </c>
      <c r="K43" s="7"/>
      <c r="L43" s="7"/>
    </row>
    <row r="44" spans="1:12" ht="23.25" customHeight="1" x14ac:dyDescent="0.2">
      <c r="A44" s="7" t="s">
        <v>1882</v>
      </c>
      <c r="B44" s="7" t="s">
        <v>1883</v>
      </c>
      <c r="C44" s="7" t="s">
        <v>1884</v>
      </c>
      <c r="D44" s="8"/>
      <c r="E44" s="8"/>
      <c r="F44" s="8"/>
      <c r="G44" s="7" t="s">
        <v>1751</v>
      </c>
      <c r="H44" s="7" t="s">
        <v>1885</v>
      </c>
      <c r="I44" s="7" t="s">
        <v>71</v>
      </c>
      <c r="J44" s="7" t="s">
        <v>72</v>
      </c>
      <c r="K44" s="7"/>
      <c r="L44" s="7"/>
    </row>
    <row r="45" spans="1:12" ht="15" customHeight="1" x14ac:dyDescent="0.2">
      <c r="A45" s="6" t="s">
        <v>695</v>
      </c>
      <c r="B45" s="6" t="s">
        <v>1886</v>
      </c>
      <c r="C45" s="6"/>
      <c r="D45" s="6"/>
      <c r="E45" s="6"/>
      <c r="F45" s="6"/>
      <c r="G45" s="6"/>
      <c r="H45" s="6"/>
      <c r="I45" s="6"/>
      <c r="J45" s="6"/>
      <c r="K45" s="6"/>
      <c r="L45" s="6"/>
    </row>
    <row r="46" spans="1:12" ht="23.25" customHeight="1" x14ac:dyDescent="0.2">
      <c r="A46" s="7" t="s">
        <v>1887</v>
      </c>
      <c r="B46" s="7" t="s">
        <v>1888</v>
      </c>
      <c r="C46" s="7" t="s">
        <v>1889</v>
      </c>
      <c r="D46" s="8"/>
      <c r="E46" s="8"/>
      <c r="F46" s="8"/>
      <c r="G46" s="7" t="s">
        <v>1751</v>
      </c>
      <c r="H46" s="7" t="s">
        <v>1890</v>
      </c>
      <c r="I46" s="7" t="s">
        <v>71</v>
      </c>
      <c r="J46" s="7" t="s">
        <v>72</v>
      </c>
      <c r="K46" s="7"/>
      <c r="L46" s="7"/>
    </row>
    <row r="47" spans="1:12" ht="34.5" customHeight="1" x14ac:dyDescent="0.2">
      <c r="A47" s="7" t="s">
        <v>1891</v>
      </c>
      <c r="B47" s="7" t="s">
        <v>1892</v>
      </c>
      <c r="C47" s="7" t="s">
        <v>1893</v>
      </c>
      <c r="D47" s="8" t="s">
        <v>67</v>
      </c>
      <c r="E47" s="8"/>
      <c r="F47" s="8"/>
      <c r="G47" s="7" t="s">
        <v>1894</v>
      </c>
      <c r="H47" s="7" t="s">
        <v>1895</v>
      </c>
      <c r="I47" s="7" t="s">
        <v>71</v>
      </c>
      <c r="J47" s="7" t="s">
        <v>72</v>
      </c>
      <c r="K47" s="7"/>
      <c r="L47" s="7"/>
    </row>
    <row r="48" spans="1:12" ht="23.25" customHeight="1" x14ac:dyDescent="0.2">
      <c r="A48" s="7" t="s">
        <v>1896</v>
      </c>
      <c r="B48" s="7" t="s">
        <v>1897</v>
      </c>
      <c r="C48" s="7" t="s">
        <v>1898</v>
      </c>
      <c r="D48" s="8"/>
      <c r="E48" s="8"/>
      <c r="F48" s="8"/>
      <c r="G48" s="7" t="s">
        <v>1751</v>
      </c>
      <c r="H48" s="7" t="s">
        <v>1899</v>
      </c>
      <c r="I48" s="7" t="s">
        <v>71</v>
      </c>
      <c r="J48" s="7" t="s">
        <v>72</v>
      </c>
      <c r="K48" s="7"/>
      <c r="L48" s="7"/>
    </row>
    <row r="49" spans="1:12" ht="15" customHeight="1" x14ac:dyDescent="0.2">
      <c r="A49" s="6" t="s">
        <v>708</v>
      </c>
      <c r="B49" s="6" t="s">
        <v>1900</v>
      </c>
      <c r="C49" s="6"/>
      <c r="D49" s="6"/>
      <c r="E49" s="6"/>
      <c r="F49" s="6"/>
      <c r="G49" s="6"/>
      <c r="H49" s="6"/>
      <c r="I49" s="6"/>
      <c r="J49" s="6"/>
      <c r="K49" s="6"/>
      <c r="L49" s="6"/>
    </row>
    <row r="50" spans="1:12" ht="34.5" customHeight="1" x14ac:dyDescent="0.2">
      <c r="A50" s="7" t="s">
        <v>1901</v>
      </c>
      <c r="B50" s="7" t="s">
        <v>1902</v>
      </c>
      <c r="C50" s="7" t="s">
        <v>1903</v>
      </c>
      <c r="D50" s="8"/>
      <c r="E50" s="8"/>
      <c r="F50" s="8"/>
      <c r="G50" s="7" t="s">
        <v>1751</v>
      </c>
      <c r="H50" s="7" t="s">
        <v>1904</v>
      </c>
      <c r="I50" s="7" t="s">
        <v>71</v>
      </c>
      <c r="J50" s="7" t="s">
        <v>72</v>
      </c>
      <c r="K50" s="7"/>
      <c r="L50" s="7"/>
    </row>
    <row r="51" spans="1:12" ht="23.25" customHeight="1" x14ac:dyDescent="0.2">
      <c r="A51" s="7" t="s">
        <v>1905</v>
      </c>
      <c r="B51" s="7" t="s">
        <v>1906</v>
      </c>
      <c r="C51" s="7" t="s">
        <v>1907</v>
      </c>
      <c r="D51" s="8"/>
      <c r="E51" s="8"/>
      <c r="F51" s="8"/>
      <c r="G51" s="7" t="s">
        <v>1751</v>
      </c>
      <c r="H51" s="7" t="s">
        <v>734</v>
      </c>
      <c r="I51" s="7" t="s">
        <v>71</v>
      </c>
      <c r="J51" s="7" t="s">
        <v>72</v>
      </c>
      <c r="K51" s="7"/>
      <c r="L51" s="7"/>
    </row>
  </sheetData>
  <autoFilter ref="A3:L51" xr:uid="{00000000-0009-0000-0000-00000B000000}"/>
  <conditionalFormatting sqref="J4:J51">
    <cfRule type="cellIs" dxfId="36" priority="2" operator="equal">
      <formula>"Implemented"</formula>
    </cfRule>
    <cfRule type="cellIs" dxfId="35" priority="3" operator="equal">
      <formula>"Verified"</formula>
    </cfRule>
    <cfRule type="cellIs" dxfId="34" priority="4" operator="equal">
      <formula>"In progress"</formula>
    </cfRule>
  </conditionalFormatting>
  <dataValidations count="2">
    <dataValidation type="list" allowBlank="1" sqref="I4:I51" xr:uid="{00000000-0002-0000-0B00-000000000000}">
      <formula1>"Yes,No"</formula1>
      <formula2>0</formula2>
    </dataValidation>
    <dataValidation type="list" allowBlank="1" sqref="J4:J51" xr:uid="{00000000-0002-0000-0B00-000001000000}">
      <formula1>"Not started,In progress,Implemented,Verified,Not applicable"</formula1>
      <formula2>0</formula2>
    </dataValidation>
  </dataValidations>
  <pageMargins left="0.75" right="0.75" top="1" bottom="1" header="0.511811023622047" footer="0.511811023622047"/>
  <pageSetup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M13"/>
  <sheetViews>
    <sheetView zoomScaleNormal="100" workbookViewId="0">
      <pane xSplit="2" ySplit="3" topLeftCell="C4" activePane="bottomRight" state="frozen"/>
      <selection pane="topRight" activeCell="C1" sqref="C1"/>
      <selection pane="bottomLeft" activeCell="A4" sqref="A4"/>
      <selection pane="bottomRight"/>
    </sheetView>
  </sheetViews>
  <sheetFormatPr baseColWidth="10" defaultColWidth="8.6640625" defaultRowHeight="15" x14ac:dyDescent="0.2"/>
  <cols>
    <col min="1" max="1" width="12" customWidth="1"/>
    <col min="2" max="2" width="30" customWidth="1"/>
    <col min="3" max="4" width="58" customWidth="1"/>
    <col min="5" max="7" width="5" customWidth="1"/>
    <col min="8" max="8" width="50" customWidth="1"/>
    <col min="9" max="9" width="38" customWidth="1"/>
    <col min="10" max="10" width="12" customWidth="1"/>
    <col min="11" max="11" width="16" customWidth="1"/>
    <col min="12" max="12" width="14" customWidth="1"/>
    <col min="13" max="13" width="26" customWidth="1"/>
  </cols>
  <sheetData>
    <row r="1" spans="1:13" ht="17.25" customHeight="1" x14ac:dyDescent="0.2">
      <c r="A1" s="3" t="s">
        <v>1908</v>
      </c>
    </row>
    <row r="3" spans="1:13" ht="15" customHeight="1" x14ac:dyDescent="0.2">
      <c r="A3" s="26" t="s">
        <v>48</v>
      </c>
      <c r="B3" s="26" t="s">
        <v>1909</v>
      </c>
      <c r="C3" s="26" t="s">
        <v>1910</v>
      </c>
      <c r="D3" s="26" t="s">
        <v>1911</v>
      </c>
      <c r="E3" s="26" t="s">
        <v>52</v>
      </c>
      <c r="F3" s="26" t="s">
        <v>53</v>
      </c>
      <c r="G3" s="26" t="s">
        <v>54</v>
      </c>
      <c r="H3" s="26" t="s">
        <v>999</v>
      </c>
      <c r="I3" s="26" t="s">
        <v>57</v>
      </c>
      <c r="J3" s="26" t="s">
        <v>545</v>
      </c>
      <c r="K3" s="26" t="s">
        <v>59</v>
      </c>
      <c r="L3" s="26" t="s">
        <v>60</v>
      </c>
      <c r="M3" s="26" t="s">
        <v>61</v>
      </c>
    </row>
    <row r="4" spans="1:13" ht="34.5" customHeight="1" x14ac:dyDescent="0.2">
      <c r="A4" s="7" t="s">
        <v>1912</v>
      </c>
      <c r="B4" s="7" t="s">
        <v>1913</v>
      </c>
      <c r="C4" s="7" t="s">
        <v>1914</v>
      </c>
      <c r="D4" s="7" t="s">
        <v>1915</v>
      </c>
      <c r="E4" s="8" t="s">
        <v>67</v>
      </c>
      <c r="F4" s="8" t="s">
        <v>67</v>
      </c>
      <c r="G4" s="8" t="s">
        <v>67</v>
      </c>
      <c r="H4" s="7" t="s">
        <v>1916</v>
      </c>
      <c r="I4" s="7" t="s">
        <v>1917</v>
      </c>
      <c r="J4" s="7" t="s">
        <v>71</v>
      </c>
      <c r="K4" s="7" t="s">
        <v>72</v>
      </c>
      <c r="L4" s="7"/>
      <c r="M4" s="7"/>
    </row>
    <row r="5" spans="1:13" ht="34.5" customHeight="1" x14ac:dyDescent="0.2">
      <c r="A5" s="7" t="s">
        <v>1918</v>
      </c>
      <c r="B5" s="7" t="s">
        <v>1919</v>
      </c>
      <c r="C5" s="7" t="s">
        <v>1920</v>
      </c>
      <c r="D5" s="7" t="s">
        <v>1921</v>
      </c>
      <c r="E5" s="8" t="s">
        <v>67</v>
      </c>
      <c r="F5" s="8"/>
      <c r="G5" s="8"/>
      <c r="H5" s="7" t="s">
        <v>1922</v>
      </c>
      <c r="I5" s="7" t="s">
        <v>1917</v>
      </c>
      <c r="J5" s="7" t="s">
        <v>71</v>
      </c>
      <c r="K5" s="7" t="s">
        <v>72</v>
      </c>
      <c r="L5" s="7"/>
      <c r="M5" s="7"/>
    </row>
    <row r="6" spans="1:13" ht="45.75" customHeight="1" x14ac:dyDescent="0.2">
      <c r="A6" s="7" t="s">
        <v>1923</v>
      </c>
      <c r="B6" s="7" t="s">
        <v>1924</v>
      </c>
      <c r="C6" s="7" t="s">
        <v>1925</v>
      </c>
      <c r="D6" s="7" t="s">
        <v>1926</v>
      </c>
      <c r="E6" s="8" t="s">
        <v>67</v>
      </c>
      <c r="F6" s="8" t="s">
        <v>67</v>
      </c>
      <c r="G6" s="8" t="s">
        <v>67</v>
      </c>
      <c r="H6" s="7" t="s">
        <v>1927</v>
      </c>
      <c r="I6" s="7" t="s">
        <v>1917</v>
      </c>
      <c r="J6" s="7" t="s">
        <v>71</v>
      </c>
      <c r="K6" s="7" t="s">
        <v>72</v>
      </c>
      <c r="L6" s="7"/>
      <c r="M6" s="7"/>
    </row>
    <row r="7" spans="1:13" ht="34.5" customHeight="1" x14ac:dyDescent="0.2">
      <c r="A7" s="7" t="s">
        <v>1928</v>
      </c>
      <c r="B7" s="7" t="s">
        <v>1929</v>
      </c>
      <c r="C7" s="7" t="s">
        <v>1930</v>
      </c>
      <c r="D7" s="7" t="s">
        <v>1931</v>
      </c>
      <c r="E7" s="8"/>
      <c r="F7" s="8" t="s">
        <v>67</v>
      </c>
      <c r="G7" s="8"/>
      <c r="H7" s="7" t="s">
        <v>1932</v>
      </c>
      <c r="I7" s="7" t="s">
        <v>1917</v>
      </c>
      <c r="J7" s="7" t="s">
        <v>71</v>
      </c>
      <c r="K7" s="7" t="s">
        <v>72</v>
      </c>
      <c r="L7" s="7"/>
      <c r="M7" s="7"/>
    </row>
    <row r="8" spans="1:13" ht="34.5" customHeight="1" x14ac:dyDescent="0.2">
      <c r="A8" s="7" t="s">
        <v>1933</v>
      </c>
      <c r="B8" s="7" t="s">
        <v>1934</v>
      </c>
      <c r="C8" s="7" t="s">
        <v>1935</v>
      </c>
      <c r="D8" s="7" t="s">
        <v>1936</v>
      </c>
      <c r="E8" s="8"/>
      <c r="F8" s="8" t="s">
        <v>67</v>
      </c>
      <c r="G8" s="8" t="s">
        <v>67</v>
      </c>
      <c r="H8" s="7" t="s">
        <v>1937</v>
      </c>
      <c r="I8" s="7" t="s">
        <v>1917</v>
      </c>
      <c r="J8" s="7" t="s">
        <v>71</v>
      </c>
      <c r="K8" s="7" t="s">
        <v>72</v>
      </c>
      <c r="L8" s="7"/>
      <c r="M8" s="7"/>
    </row>
    <row r="9" spans="1:13" ht="34.5" customHeight="1" x14ac:dyDescent="0.2">
      <c r="A9" s="7" t="s">
        <v>1938</v>
      </c>
      <c r="B9" s="7" t="s">
        <v>1939</v>
      </c>
      <c r="C9" s="7" t="s">
        <v>1940</v>
      </c>
      <c r="D9" s="7" t="s">
        <v>1941</v>
      </c>
      <c r="E9" s="8" t="s">
        <v>67</v>
      </c>
      <c r="F9" s="8" t="s">
        <v>67</v>
      </c>
      <c r="G9" s="8" t="s">
        <v>67</v>
      </c>
      <c r="H9" s="7" t="s">
        <v>1942</v>
      </c>
      <c r="I9" s="7" t="s">
        <v>1917</v>
      </c>
      <c r="J9" s="7" t="s">
        <v>71</v>
      </c>
      <c r="K9" s="7" t="s">
        <v>72</v>
      </c>
      <c r="L9" s="7"/>
      <c r="M9" s="7"/>
    </row>
    <row r="10" spans="1:13" ht="45.75" customHeight="1" x14ac:dyDescent="0.2">
      <c r="A10" s="7" t="s">
        <v>1943</v>
      </c>
      <c r="B10" s="7" t="s">
        <v>1944</v>
      </c>
      <c r="C10" s="7" t="s">
        <v>1945</v>
      </c>
      <c r="D10" s="7" t="s">
        <v>1946</v>
      </c>
      <c r="E10" s="8" t="s">
        <v>67</v>
      </c>
      <c r="F10" s="8"/>
      <c r="G10" s="8"/>
      <c r="H10" s="7" t="s">
        <v>1947</v>
      </c>
      <c r="I10" s="7" t="s">
        <v>1917</v>
      </c>
      <c r="J10" s="7" t="s">
        <v>71</v>
      </c>
      <c r="K10" s="7" t="s">
        <v>72</v>
      </c>
      <c r="L10" s="7"/>
      <c r="M10" s="7"/>
    </row>
    <row r="11" spans="1:13" ht="45.75" customHeight="1" x14ac:dyDescent="0.2">
      <c r="A11" s="7" t="s">
        <v>1948</v>
      </c>
      <c r="B11" s="7" t="s">
        <v>1949</v>
      </c>
      <c r="C11" s="7" t="s">
        <v>1950</v>
      </c>
      <c r="D11" s="7" t="s">
        <v>1951</v>
      </c>
      <c r="E11" s="8" t="s">
        <v>67</v>
      </c>
      <c r="F11" s="8" t="s">
        <v>67</v>
      </c>
      <c r="G11" s="8"/>
      <c r="H11" s="7" t="s">
        <v>1952</v>
      </c>
      <c r="I11" s="7" t="s">
        <v>1917</v>
      </c>
      <c r="J11" s="7" t="s">
        <v>71</v>
      </c>
      <c r="K11" s="7" t="s">
        <v>72</v>
      </c>
      <c r="L11" s="7"/>
      <c r="M11" s="7"/>
    </row>
    <row r="12" spans="1:13" ht="45.75" customHeight="1" x14ac:dyDescent="0.2">
      <c r="A12" s="7" t="s">
        <v>1953</v>
      </c>
      <c r="B12" s="7" t="s">
        <v>1954</v>
      </c>
      <c r="C12" s="7" t="s">
        <v>1955</v>
      </c>
      <c r="D12" s="7" t="s">
        <v>1956</v>
      </c>
      <c r="E12" s="8"/>
      <c r="F12" s="8" t="s">
        <v>67</v>
      </c>
      <c r="G12" s="8"/>
      <c r="H12" s="7" t="s">
        <v>1957</v>
      </c>
      <c r="I12" s="7" t="s">
        <v>1917</v>
      </c>
      <c r="J12" s="7" t="s">
        <v>71</v>
      </c>
      <c r="K12" s="7" t="s">
        <v>72</v>
      </c>
      <c r="L12" s="7"/>
      <c r="M12" s="7"/>
    </row>
    <row r="13" spans="1:13" ht="34.5" customHeight="1" x14ac:dyDescent="0.2">
      <c r="A13" s="7" t="s">
        <v>1958</v>
      </c>
      <c r="B13" s="7" t="s">
        <v>1959</v>
      </c>
      <c r="C13" s="7" t="s">
        <v>1960</v>
      </c>
      <c r="D13" s="7" t="s">
        <v>1961</v>
      </c>
      <c r="E13" s="8"/>
      <c r="F13" s="8"/>
      <c r="G13" s="8" t="s">
        <v>67</v>
      </c>
      <c r="H13" s="7" t="s">
        <v>1962</v>
      </c>
      <c r="I13" s="7" t="s">
        <v>1917</v>
      </c>
      <c r="J13" s="7" t="s">
        <v>71</v>
      </c>
      <c r="K13" s="7" t="s">
        <v>72</v>
      </c>
      <c r="L13" s="7"/>
      <c r="M13" s="7"/>
    </row>
  </sheetData>
  <autoFilter ref="A3:M13" xr:uid="{00000000-0009-0000-0000-00000C000000}"/>
  <conditionalFormatting sqref="K4:K13">
    <cfRule type="cellIs" dxfId="33" priority="2" operator="equal">
      <formula>"Implemented"</formula>
    </cfRule>
    <cfRule type="cellIs" dxfId="32" priority="3" operator="equal">
      <formula>"Verified"</formula>
    </cfRule>
    <cfRule type="cellIs" dxfId="31" priority="4" operator="equal">
      <formula>"In progress"</formula>
    </cfRule>
    <cfRule type="cellIs" dxfId="30" priority="5" operator="equal">
      <formula>"Not started"</formula>
    </cfRule>
  </conditionalFormatting>
  <dataValidations count="2">
    <dataValidation type="list" allowBlank="1" sqref="J4:J13" xr:uid="{00000000-0002-0000-0C00-000000000000}">
      <formula1>"Yes,No"</formula1>
      <formula2>0</formula2>
    </dataValidation>
    <dataValidation type="list" allowBlank="1" sqref="K4:K13" xr:uid="{00000000-0002-0000-0C00-000001000000}">
      <formula1>"Not started,In progress,Implemented,Verified,Not applicable,Accepted risk"</formula1>
      <formula2>0</formula2>
    </dataValidation>
  </dataValidations>
  <pageMargins left="0.75" right="0.75" top="1" bottom="1" header="0.511811023622047" footer="0.511811023622047"/>
  <pageSetup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L29"/>
  <sheetViews>
    <sheetView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5" x14ac:dyDescent="0.2"/>
  <cols>
    <col min="1" max="1" width="10" customWidth="1"/>
    <col min="2" max="2" width="40" customWidth="1"/>
    <col min="3" max="3" width="66" customWidth="1"/>
    <col min="4" max="6" width="5" customWidth="1"/>
    <col min="7" max="7" width="50" customWidth="1"/>
    <col min="8" max="8" width="42" customWidth="1"/>
    <col min="9" max="9" width="12" customWidth="1"/>
    <col min="10" max="11" width="14" customWidth="1"/>
    <col min="12" max="12" width="26" customWidth="1"/>
  </cols>
  <sheetData>
    <row r="1" spans="1:12" ht="17.25" customHeight="1" x14ac:dyDescent="0.2">
      <c r="A1" s="3" t="s">
        <v>1963</v>
      </c>
    </row>
    <row r="3" spans="1:12" ht="15" customHeight="1" x14ac:dyDescent="0.2">
      <c r="A3" s="27" t="s">
        <v>48</v>
      </c>
      <c r="B3" s="27" t="s">
        <v>50</v>
      </c>
      <c r="C3" s="27" t="s">
        <v>1964</v>
      </c>
      <c r="D3" s="27" t="s">
        <v>52</v>
      </c>
      <c r="E3" s="27" t="s">
        <v>53</v>
      </c>
      <c r="F3" s="27" t="s">
        <v>54</v>
      </c>
      <c r="G3" s="27" t="s">
        <v>999</v>
      </c>
      <c r="H3" s="27" t="s">
        <v>57</v>
      </c>
      <c r="I3" s="27" t="s">
        <v>545</v>
      </c>
      <c r="J3" s="27" t="s">
        <v>59</v>
      </c>
      <c r="K3" s="27" t="s">
        <v>60</v>
      </c>
      <c r="L3" s="27" t="s">
        <v>61</v>
      </c>
    </row>
    <row r="4" spans="1:12" ht="15" customHeight="1" x14ac:dyDescent="0.2">
      <c r="A4" s="6" t="s">
        <v>915</v>
      </c>
      <c r="B4" s="6" t="s">
        <v>1965</v>
      </c>
      <c r="C4" s="6"/>
      <c r="D4" s="6"/>
      <c r="E4" s="6"/>
      <c r="F4" s="6"/>
      <c r="G4" s="6"/>
      <c r="H4" s="6"/>
      <c r="I4" s="6"/>
      <c r="J4" s="6"/>
      <c r="K4" s="6"/>
      <c r="L4" s="6"/>
    </row>
    <row r="5" spans="1:12" ht="34.5" customHeight="1" x14ac:dyDescent="0.2">
      <c r="A5" s="7" t="s">
        <v>203</v>
      </c>
      <c r="B5" s="7" t="s">
        <v>1966</v>
      </c>
      <c r="C5" s="7" t="s">
        <v>1967</v>
      </c>
      <c r="D5" s="8"/>
      <c r="E5" s="8"/>
      <c r="F5" s="8"/>
      <c r="G5" s="7" t="s">
        <v>1968</v>
      </c>
      <c r="H5" s="7" t="s">
        <v>1969</v>
      </c>
      <c r="I5" s="7" t="s">
        <v>71</v>
      </c>
      <c r="J5" s="7" t="s">
        <v>72</v>
      </c>
      <c r="K5" s="7"/>
      <c r="L5" s="7"/>
    </row>
    <row r="6" spans="1:12" ht="34.5" customHeight="1" x14ac:dyDescent="0.2">
      <c r="A6" s="7" t="s">
        <v>208</v>
      </c>
      <c r="B6" s="7" t="s">
        <v>1970</v>
      </c>
      <c r="C6" s="7" t="s">
        <v>1971</v>
      </c>
      <c r="D6" s="8"/>
      <c r="E6" s="8"/>
      <c r="F6" s="8"/>
      <c r="G6" s="7" t="s">
        <v>1968</v>
      </c>
      <c r="H6" s="7" t="s">
        <v>1972</v>
      </c>
      <c r="I6" s="7" t="s">
        <v>71</v>
      </c>
      <c r="J6" s="7" t="s">
        <v>72</v>
      </c>
      <c r="K6" s="7"/>
      <c r="L6" s="7"/>
    </row>
    <row r="7" spans="1:12" ht="45.75" customHeight="1" x14ac:dyDescent="0.2">
      <c r="A7" s="7" t="s">
        <v>926</v>
      </c>
      <c r="B7" s="7" t="s">
        <v>1973</v>
      </c>
      <c r="C7" s="7" t="s">
        <v>1974</v>
      </c>
      <c r="D7" s="8" t="s">
        <v>67</v>
      </c>
      <c r="E7" s="8"/>
      <c r="F7" s="8"/>
      <c r="G7" s="7" t="s">
        <v>1975</v>
      </c>
      <c r="H7" s="7" t="s">
        <v>1976</v>
      </c>
      <c r="I7" s="7" t="s">
        <v>71</v>
      </c>
      <c r="J7" s="7" t="s">
        <v>72</v>
      </c>
      <c r="K7" s="7"/>
      <c r="L7" s="7"/>
    </row>
    <row r="8" spans="1:12" ht="23.25" customHeight="1" x14ac:dyDescent="0.2">
      <c r="A8" s="7" t="s">
        <v>930</v>
      </c>
      <c r="B8" s="7" t="s">
        <v>1977</v>
      </c>
      <c r="C8" s="7" t="s">
        <v>1978</v>
      </c>
      <c r="D8" s="8"/>
      <c r="E8" s="8"/>
      <c r="F8" s="8"/>
      <c r="G8" s="7" t="s">
        <v>1968</v>
      </c>
      <c r="H8" s="7" t="s">
        <v>1979</v>
      </c>
      <c r="I8" s="7" t="s">
        <v>71</v>
      </c>
      <c r="J8" s="7" t="s">
        <v>72</v>
      </c>
      <c r="K8" s="7"/>
      <c r="L8" s="7"/>
    </row>
    <row r="9" spans="1:12" ht="23.25" customHeight="1" x14ac:dyDescent="0.2">
      <c r="A9" s="7" t="s">
        <v>934</v>
      </c>
      <c r="B9" s="7" t="s">
        <v>1980</v>
      </c>
      <c r="C9" s="7" t="s">
        <v>1981</v>
      </c>
      <c r="D9" s="8"/>
      <c r="E9" s="8"/>
      <c r="F9" s="8"/>
      <c r="G9" s="7" t="s">
        <v>1968</v>
      </c>
      <c r="H9" s="7" t="s">
        <v>1982</v>
      </c>
      <c r="I9" s="7" t="s">
        <v>71</v>
      </c>
      <c r="J9" s="7" t="s">
        <v>72</v>
      </c>
      <c r="K9" s="7"/>
      <c r="L9" s="7"/>
    </row>
    <row r="10" spans="1:12" ht="23.25" customHeight="1" x14ac:dyDescent="0.2">
      <c r="A10" s="7" t="s">
        <v>938</v>
      </c>
      <c r="B10" s="7" t="s">
        <v>1983</v>
      </c>
      <c r="C10" s="7" t="s">
        <v>1984</v>
      </c>
      <c r="D10" s="8"/>
      <c r="E10" s="8"/>
      <c r="F10" s="8"/>
      <c r="G10" s="7" t="s">
        <v>1968</v>
      </c>
      <c r="H10" s="7" t="s">
        <v>1985</v>
      </c>
      <c r="I10" s="7" t="s">
        <v>71</v>
      </c>
      <c r="J10" s="7" t="s">
        <v>72</v>
      </c>
      <c r="K10" s="7"/>
      <c r="L10" s="7"/>
    </row>
    <row r="11" spans="1:12" ht="23.25" customHeight="1" x14ac:dyDescent="0.2">
      <c r="A11" s="7" t="s">
        <v>943</v>
      </c>
      <c r="B11" s="7" t="s">
        <v>1986</v>
      </c>
      <c r="C11" s="7" t="s">
        <v>1987</v>
      </c>
      <c r="D11" s="8"/>
      <c r="E11" s="8"/>
      <c r="F11" s="8"/>
      <c r="G11" s="7" t="s">
        <v>1968</v>
      </c>
      <c r="H11" s="7" t="s">
        <v>1988</v>
      </c>
      <c r="I11" s="7" t="s">
        <v>71</v>
      </c>
      <c r="J11" s="7" t="s">
        <v>72</v>
      </c>
      <c r="K11" s="7"/>
      <c r="L11" s="7"/>
    </row>
    <row r="12" spans="1:12" ht="15" customHeight="1" x14ac:dyDescent="0.2">
      <c r="A12" s="6" t="s">
        <v>959</v>
      </c>
      <c r="B12" s="6" t="s">
        <v>1989</v>
      </c>
      <c r="C12" s="6"/>
      <c r="D12" s="6"/>
      <c r="E12" s="6"/>
      <c r="F12" s="6"/>
      <c r="G12" s="6"/>
      <c r="H12" s="6"/>
      <c r="I12" s="6"/>
      <c r="J12" s="6"/>
      <c r="K12" s="6"/>
      <c r="L12" s="6"/>
    </row>
    <row r="13" spans="1:12" ht="34.5" customHeight="1" x14ac:dyDescent="0.2">
      <c r="A13" s="7" t="s">
        <v>1990</v>
      </c>
      <c r="B13" s="7" t="s">
        <v>1991</v>
      </c>
      <c r="C13" s="7" t="s">
        <v>1992</v>
      </c>
      <c r="D13" s="8" t="s">
        <v>67</v>
      </c>
      <c r="E13" s="8"/>
      <c r="F13" s="8"/>
      <c r="G13" s="7" t="s">
        <v>1993</v>
      </c>
      <c r="H13" s="7" t="s">
        <v>1994</v>
      </c>
      <c r="I13" s="7" t="s">
        <v>71</v>
      </c>
      <c r="J13" s="7" t="s">
        <v>72</v>
      </c>
      <c r="K13" s="7"/>
      <c r="L13" s="7"/>
    </row>
    <row r="14" spans="1:12" ht="23.25" customHeight="1" x14ac:dyDescent="0.2">
      <c r="A14" s="7" t="s">
        <v>1995</v>
      </c>
      <c r="B14" s="7" t="s">
        <v>1996</v>
      </c>
      <c r="C14" s="7" t="s">
        <v>1997</v>
      </c>
      <c r="D14" s="8"/>
      <c r="E14" s="8"/>
      <c r="F14" s="8"/>
      <c r="G14" s="7" t="s">
        <v>1968</v>
      </c>
      <c r="H14" s="7" t="s">
        <v>1998</v>
      </c>
      <c r="I14" s="7" t="s">
        <v>71</v>
      </c>
      <c r="J14" s="7" t="s">
        <v>72</v>
      </c>
      <c r="K14" s="7"/>
      <c r="L14" s="7"/>
    </row>
    <row r="15" spans="1:12" ht="23.25" customHeight="1" x14ac:dyDescent="0.2">
      <c r="A15" s="7" t="s">
        <v>1999</v>
      </c>
      <c r="B15" s="7" t="s">
        <v>2000</v>
      </c>
      <c r="C15" s="7" t="s">
        <v>2001</v>
      </c>
      <c r="D15" s="8"/>
      <c r="E15" s="8"/>
      <c r="F15" s="8"/>
      <c r="G15" s="7" t="s">
        <v>1968</v>
      </c>
      <c r="H15" s="7" t="s">
        <v>2002</v>
      </c>
      <c r="I15" s="7" t="s">
        <v>71</v>
      </c>
      <c r="J15" s="7" t="s">
        <v>72</v>
      </c>
      <c r="K15" s="7"/>
      <c r="L15" s="7"/>
    </row>
    <row r="16" spans="1:12" ht="34.5" customHeight="1" x14ac:dyDescent="0.2">
      <c r="A16" s="7" t="s">
        <v>2003</v>
      </c>
      <c r="B16" s="7" t="s">
        <v>2004</v>
      </c>
      <c r="C16" s="7" t="s">
        <v>2005</v>
      </c>
      <c r="D16" s="8" t="s">
        <v>67</v>
      </c>
      <c r="E16" s="8" t="s">
        <v>67</v>
      </c>
      <c r="F16" s="8"/>
      <c r="G16" s="7" t="s">
        <v>2006</v>
      </c>
      <c r="H16" s="7" t="s">
        <v>2007</v>
      </c>
      <c r="I16" s="7" t="s">
        <v>71</v>
      </c>
      <c r="J16" s="7" t="s">
        <v>72</v>
      </c>
      <c r="K16" s="7"/>
      <c r="L16" s="7"/>
    </row>
    <row r="17" spans="1:12" ht="15" customHeight="1" x14ac:dyDescent="0.2">
      <c r="A17" s="6" t="s">
        <v>1585</v>
      </c>
      <c r="B17" s="6" t="s">
        <v>2008</v>
      </c>
      <c r="C17" s="6"/>
      <c r="D17" s="6"/>
      <c r="E17" s="6"/>
      <c r="F17" s="6"/>
      <c r="G17" s="6"/>
      <c r="H17" s="6"/>
      <c r="I17" s="6"/>
      <c r="J17" s="6"/>
      <c r="K17" s="6"/>
      <c r="L17" s="6"/>
    </row>
    <row r="18" spans="1:12" ht="45.75" customHeight="1" x14ac:dyDescent="0.2">
      <c r="A18" s="7" t="s">
        <v>241</v>
      </c>
      <c r="B18" s="7" t="s">
        <v>2009</v>
      </c>
      <c r="C18" s="7" t="s">
        <v>2010</v>
      </c>
      <c r="D18" s="8"/>
      <c r="E18" s="8"/>
      <c r="F18" s="8"/>
      <c r="G18" s="7" t="s">
        <v>1968</v>
      </c>
      <c r="H18" s="7" t="s">
        <v>2011</v>
      </c>
      <c r="I18" s="7" t="s">
        <v>71</v>
      </c>
      <c r="J18" s="7" t="s">
        <v>72</v>
      </c>
      <c r="K18" s="7"/>
      <c r="L18" s="7"/>
    </row>
    <row r="19" spans="1:12" ht="34.5" customHeight="1" x14ac:dyDescent="0.2">
      <c r="A19" s="7" t="s">
        <v>246</v>
      </c>
      <c r="B19" s="7" t="s">
        <v>2012</v>
      </c>
      <c r="C19" s="7" t="s">
        <v>2013</v>
      </c>
      <c r="D19" s="8"/>
      <c r="E19" s="8"/>
      <c r="F19" s="8"/>
      <c r="G19" s="7" t="s">
        <v>1968</v>
      </c>
      <c r="H19" s="7" t="s">
        <v>2014</v>
      </c>
      <c r="I19" s="7" t="s">
        <v>71</v>
      </c>
      <c r="J19" s="7" t="s">
        <v>72</v>
      </c>
      <c r="K19" s="7"/>
      <c r="L19" s="7"/>
    </row>
    <row r="20" spans="1:12" ht="45.75" customHeight="1" x14ac:dyDescent="0.2">
      <c r="A20" s="7" t="s">
        <v>251</v>
      </c>
      <c r="B20" s="7" t="s">
        <v>2015</v>
      </c>
      <c r="C20" s="7" t="s">
        <v>2016</v>
      </c>
      <c r="D20" s="8" t="s">
        <v>67</v>
      </c>
      <c r="E20" s="8"/>
      <c r="F20" s="8"/>
      <c r="G20" s="7" t="s">
        <v>2017</v>
      </c>
      <c r="H20" s="7" t="s">
        <v>2018</v>
      </c>
      <c r="I20" s="7" t="s">
        <v>71</v>
      </c>
      <c r="J20" s="7" t="s">
        <v>72</v>
      </c>
      <c r="K20" s="7"/>
      <c r="L20" s="7"/>
    </row>
    <row r="21" spans="1:12" ht="34.5" customHeight="1" x14ac:dyDescent="0.2">
      <c r="A21" s="7" t="s">
        <v>1294</v>
      </c>
      <c r="B21" s="7" t="s">
        <v>2019</v>
      </c>
      <c r="C21" s="7" t="s">
        <v>2020</v>
      </c>
      <c r="D21" s="8" t="s">
        <v>67</v>
      </c>
      <c r="E21" s="8"/>
      <c r="F21" s="8"/>
      <c r="G21" s="7" t="s">
        <v>2021</v>
      </c>
      <c r="H21" s="7" t="s">
        <v>2022</v>
      </c>
      <c r="I21" s="7" t="s">
        <v>71</v>
      </c>
      <c r="J21" s="7" t="s">
        <v>72</v>
      </c>
      <c r="K21" s="7"/>
      <c r="L21" s="7"/>
    </row>
    <row r="22" spans="1:12" ht="15" customHeight="1" x14ac:dyDescent="0.2">
      <c r="A22" s="6" t="s">
        <v>1612</v>
      </c>
      <c r="B22" s="6" t="s">
        <v>2023</v>
      </c>
      <c r="C22" s="6"/>
      <c r="D22" s="6"/>
      <c r="E22" s="6"/>
      <c r="F22" s="6"/>
      <c r="G22" s="6"/>
      <c r="H22" s="6"/>
      <c r="I22" s="6"/>
      <c r="J22" s="6"/>
      <c r="K22" s="6"/>
      <c r="L22" s="6"/>
    </row>
    <row r="23" spans="1:12" ht="34.5" customHeight="1" x14ac:dyDescent="0.2">
      <c r="A23" s="7" t="s">
        <v>84</v>
      </c>
      <c r="B23" s="7" t="s">
        <v>2009</v>
      </c>
      <c r="C23" s="7" t="s">
        <v>2024</v>
      </c>
      <c r="D23" s="8"/>
      <c r="E23" s="8"/>
      <c r="F23" s="8"/>
      <c r="G23" s="7" t="s">
        <v>1968</v>
      </c>
      <c r="H23" s="7" t="s">
        <v>2025</v>
      </c>
      <c r="I23" s="7" t="s">
        <v>71</v>
      </c>
      <c r="J23" s="7" t="s">
        <v>72</v>
      </c>
      <c r="K23" s="7"/>
      <c r="L23" s="7"/>
    </row>
    <row r="24" spans="1:12" ht="34.5" customHeight="1" x14ac:dyDescent="0.2">
      <c r="A24" s="7" t="s">
        <v>88</v>
      </c>
      <c r="B24" s="7" t="s">
        <v>2012</v>
      </c>
      <c r="C24" s="7" t="s">
        <v>2026</v>
      </c>
      <c r="D24" s="8"/>
      <c r="E24" s="8"/>
      <c r="F24" s="8"/>
      <c r="G24" s="7" t="s">
        <v>1968</v>
      </c>
      <c r="H24" s="7" t="s">
        <v>2027</v>
      </c>
      <c r="I24" s="7" t="s">
        <v>71</v>
      </c>
      <c r="J24" s="7" t="s">
        <v>72</v>
      </c>
      <c r="K24" s="7"/>
      <c r="L24" s="7"/>
    </row>
    <row r="25" spans="1:12" ht="34.5" customHeight="1" x14ac:dyDescent="0.2">
      <c r="A25" s="7" t="s">
        <v>271</v>
      </c>
      <c r="B25" s="7" t="s">
        <v>2015</v>
      </c>
      <c r="C25" s="7" t="s">
        <v>2028</v>
      </c>
      <c r="D25" s="8" t="s">
        <v>67</v>
      </c>
      <c r="E25" s="8"/>
      <c r="F25" s="8"/>
      <c r="G25" s="7" t="s">
        <v>2029</v>
      </c>
      <c r="H25" s="7" t="s">
        <v>2030</v>
      </c>
      <c r="I25" s="7" t="s">
        <v>71</v>
      </c>
      <c r="J25" s="7" t="s">
        <v>72</v>
      </c>
      <c r="K25" s="7"/>
      <c r="L25" s="7"/>
    </row>
    <row r="26" spans="1:12" ht="34.5" customHeight="1" x14ac:dyDescent="0.2">
      <c r="A26" s="7" t="s">
        <v>1362</v>
      </c>
      <c r="B26" s="7" t="s">
        <v>2019</v>
      </c>
      <c r="C26" s="7" t="s">
        <v>2031</v>
      </c>
      <c r="D26" s="8" t="s">
        <v>67</v>
      </c>
      <c r="E26" s="8" t="s">
        <v>67</v>
      </c>
      <c r="F26" s="8"/>
      <c r="G26" s="7" t="s">
        <v>2032</v>
      </c>
      <c r="H26" s="7" t="s">
        <v>2033</v>
      </c>
      <c r="I26" s="7" t="s">
        <v>71</v>
      </c>
      <c r="J26" s="7" t="s">
        <v>72</v>
      </c>
      <c r="K26" s="7"/>
      <c r="L26" s="7"/>
    </row>
    <row r="27" spans="1:12" ht="45.75" customHeight="1" x14ac:dyDescent="0.2">
      <c r="A27" s="7" t="s">
        <v>94</v>
      </c>
      <c r="B27" s="7" t="s">
        <v>2034</v>
      </c>
      <c r="C27" s="7" t="s">
        <v>2035</v>
      </c>
      <c r="D27" s="8"/>
      <c r="E27" s="8"/>
      <c r="F27" s="8"/>
      <c r="G27" s="7" t="s">
        <v>1968</v>
      </c>
      <c r="H27" s="7" t="s">
        <v>2036</v>
      </c>
      <c r="I27" s="7" t="s">
        <v>71</v>
      </c>
      <c r="J27" s="7" t="s">
        <v>72</v>
      </c>
      <c r="K27" s="7"/>
      <c r="L27" s="7"/>
    </row>
    <row r="28" spans="1:12" ht="34.5" customHeight="1" x14ac:dyDescent="0.2">
      <c r="A28" s="7" t="s">
        <v>986</v>
      </c>
      <c r="B28" s="7" t="s">
        <v>2037</v>
      </c>
      <c r="C28" s="7" t="s">
        <v>2038</v>
      </c>
      <c r="D28" s="8"/>
      <c r="E28" s="8"/>
      <c r="F28" s="8"/>
      <c r="G28" s="7" t="s">
        <v>1968</v>
      </c>
      <c r="H28" s="7" t="s">
        <v>2039</v>
      </c>
      <c r="I28" s="7" t="s">
        <v>71</v>
      </c>
      <c r="J28" s="7" t="s">
        <v>72</v>
      </c>
      <c r="K28" s="7"/>
      <c r="L28" s="7"/>
    </row>
    <row r="29" spans="1:12" ht="34.5" customHeight="1" x14ac:dyDescent="0.2">
      <c r="A29" s="7" t="s">
        <v>2040</v>
      </c>
      <c r="B29" s="7" t="s">
        <v>2041</v>
      </c>
      <c r="C29" s="7" t="s">
        <v>2042</v>
      </c>
      <c r="D29" s="8"/>
      <c r="E29" s="8"/>
      <c r="F29" s="8"/>
      <c r="G29" s="7" t="s">
        <v>1968</v>
      </c>
      <c r="H29" s="7" t="s">
        <v>2043</v>
      </c>
      <c r="I29" s="7" t="s">
        <v>71</v>
      </c>
      <c r="J29" s="7" t="s">
        <v>72</v>
      </c>
      <c r="K29" s="7"/>
      <c r="L29" s="7"/>
    </row>
  </sheetData>
  <autoFilter ref="A3:L29" xr:uid="{00000000-0009-0000-0000-00000D000000}"/>
  <conditionalFormatting sqref="J4:J29">
    <cfRule type="cellIs" dxfId="29" priority="2" operator="equal">
      <formula>"Implemented"</formula>
    </cfRule>
    <cfRule type="cellIs" dxfId="28" priority="3" operator="equal">
      <formula>"Verified"</formula>
    </cfRule>
    <cfRule type="cellIs" dxfId="27" priority="4" operator="equal">
      <formula>"In progress"</formula>
    </cfRule>
  </conditionalFormatting>
  <dataValidations count="2">
    <dataValidation type="list" allowBlank="1" sqref="I4:I29" xr:uid="{00000000-0002-0000-0D00-000000000000}">
      <formula1>"Yes,No"</formula1>
      <formula2>0</formula2>
    </dataValidation>
    <dataValidation type="list" allowBlank="1" sqref="J4:J29" xr:uid="{00000000-0002-0000-0D00-000001000000}">
      <formula1>"Not started,In progress,Implemented,Verified,Not applicable"</formula1>
      <formula2>0</formula2>
    </dataValidation>
  </dataValidations>
  <pageMargins left="0.75" right="0.75" top="1" bottom="1" header="0.511811023622047" footer="0.511811023622047"/>
  <pageSetup fitToHeight="0"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L592"/>
  <sheetViews>
    <sheetView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5" x14ac:dyDescent="0.2"/>
  <cols>
    <col min="1" max="1" width="42" customWidth="1"/>
    <col min="2" max="2" width="22" customWidth="1"/>
    <col min="3" max="3" width="12" customWidth="1"/>
    <col min="4" max="4" width="36" customWidth="1"/>
    <col min="5" max="7" width="5" customWidth="1"/>
    <col min="8" max="8" width="64" customWidth="1"/>
    <col min="9" max="9" width="12" customWidth="1"/>
    <col min="10" max="11" width="14" customWidth="1"/>
    <col min="12" max="12" width="26" customWidth="1"/>
  </cols>
  <sheetData>
    <row r="1" spans="1:12" ht="17.25" customHeight="1" x14ac:dyDescent="0.2">
      <c r="A1" s="3" t="s">
        <v>2044</v>
      </c>
    </row>
    <row r="3" spans="1:12" ht="15" customHeight="1" x14ac:dyDescent="0.2">
      <c r="A3" s="23" t="s">
        <v>2045</v>
      </c>
      <c r="B3" s="23" t="s">
        <v>2046</v>
      </c>
      <c r="C3" s="23" t="s">
        <v>48</v>
      </c>
      <c r="D3" s="23" t="s">
        <v>50</v>
      </c>
      <c r="E3" s="23" t="s">
        <v>52</v>
      </c>
      <c r="F3" s="23" t="s">
        <v>53</v>
      </c>
      <c r="G3" s="23" t="s">
        <v>54</v>
      </c>
      <c r="H3" s="23" t="s">
        <v>2047</v>
      </c>
      <c r="I3" s="23" t="s">
        <v>545</v>
      </c>
      <c r="J3" s="23" t="s">
        <v>59</v>
      </c>
      <c r="K3" s="23" t="s">
        <v>60</v>
      </c>
      <c r="L3" s="23" t="s">
        <v>61</v>
      </c>
    </row>
    <row r="4" spans="1:12" ht="15" customHeight="1" x14ac:dyDescent="0.2">
      <c r="A4" s="6" t="s">
        <v>2048</v>
      </c>
      <c r="B4" s="6"/>
      <c r="C4" s="6"/>
      <c r="D4" s="6"/>
      <c r="E4" s="6"/>
      <c r="F4" s="6"/>
      <c r="G4" s="6"/>
      <c r="H4" s="6"/>
      <c r="I4" s="6"/>
      <c r="J4" s="6"/>
      <c r="K4" s="6"/>
      <c r="L4" s="6"/>
    </row>
    <row r="5" spans="1:12" ht="21.75" customHeight="1" x14ac:dyDescent="0.2">
      <c r="A5" s="28" t="s">
        <v>2049</v>
      </c>
      <c r="B5" s="28" t="s">
        <v>2050</v>
      </c>
      <c r="C5" s="28" t="s">
        <v>187</v>
      </c>
      <c r="D5" s="28" t="s">
        <v>188</v>
      </c>
      <c r="E5" s="29"/>
      <c r="F5" s="29"/>
      <c r="G5" s="29"/>
      <c r="H5" s="28" t="s">
        <v>189</v>
      </c>
      <c r="I5" s="28" t="s">
        <v>71</v>
      </c>
      <c r="J5" s="28" t="s">
        <v>72</v>
      </c>
      <c r="K5" s="28"/>
      <c r="L5" s="28"/>
    </row>
    <row r="6" spans="1:12" ht="21.75" customHeight="1" x14ac:dyDescent="0.2">
      <c r="A6" s="28" t="s">
        <v>2049</v>
      </c>
      <c r="B6" s="28" t="s">
        <v>2050</v>
      </c>
      <c r="C6" s="28" t="s">
        <v>208</v>
      </c>
      <c r="D6" s="28" t="s">
        <v>209</v>
      </c>
      <c r="E6" s="29"/>
      <c r="F6" s="29"/>
      <c r="G6" s="29"/>
      <c r="H6" s="28" t="s">
        <v>210</v>
      </c>
      <c r="I6" s="28" t="s">
        <v>71</v>
      </c>
      <c r="J6" s="28" t="s">
        <v>72</v>
      </c>
      <c r="K6" s="28"/>
      <c r="L6" s="28"/>
    </row>
    <row r="7" spans="1:12" ht="21.75" customHeight="1" x14ac:dyDescent="0.2">
      <c r="A7" s="28" t="s">
        <v>2049</v>
      </c>
      <c r="B7" s="28" t="s">
        <v>2050</v>
      </c>
      <c r="C7" s="28" t="s">
        <v>241</v>
      </c>
      <c r="D7" s="28" t="s">
        <v>242</v>
      </c>
      <c r="E7" s="29"/>
      <c r="F7" s="29"/>
      <c r="G7" s="29"/>
      <c r="H7" s="28" t="s">
        <v>243</v>
      </c>
      <c r="I7" s="28" t="s">
        <v>71</v>
      </c>
      <c r="J7" s="28" t="s">
        <v>72</v>
      </c>
      <c r="K7" s="28"/>
      <c r="L7" s="28"/>
    </row>
    <row r="8" spans="1:12" ht="21.75" customHeight="1" x14ac:dyDescent="0.2">
      <c r="A8" s="28" t="s">
        <v>2049</v>
      </c>
      <c r="B8" s="28" t="s">
        <v>2050</v>
      </c>
      <c r="C8" s="28" t="s">
        <v>246</v>
      </c>
      <c r="D8" s="28" t="s">
        <v>247</v>
      </c>
      <c r="E8" s="29"/>
      <c r="F8" s="29"/>
      <c r="G8" s="29"/>
      <c r="H8" s="28" t="s">
        <v>248</v>
      </c>
      <c r="I8" s="28" t="s">
        <v>71</v>
      </c>
      <c r="J8" s="28" t="s">
        <v>72</v>
      </c>
      <c r="K8" s="28"/>
      <c r="L8" s="28"/>
    </row>
    <row r="9" spans="1:12" ht="21.75" customHeight="1" x14ac:dyDescent="0.2">
      <c r="A9" s="28" t="s">
        <v>2049</v>
      </c>
      <c r="B9" s="28" t="s">
        <v>2050</v>
      </c>
      <c r="C9" s="28" t="s">
        <v>256</v>
      </c>
      <c r="D9" s="28" t="s">
        <v>257</v>
      </c>
      <c r="E9" s="29"/>
      <c r="F9" s="29"/>
      <c r="G9" s="29"/>
      <c r="H9" s="28" t="s">
        <v>258</v>
      </c>
      <c r="I9" s="28" t="s">
        <v>71</v>
      </c>
      <c r="J9" s="28" t="s">
        <v>72</v>
      </c>
      <c r="K9" s="28"/>
      <c r="L9" s="28"/>
    </row>
    <row r="10" spans="1:12" ht="21.75" customHeight="1" x14ac:dyDescent="0.2">
      <c r="A10" s="28" t="s">
        <v>2049</v>
      </c>
      <c r="B10" s="28" t="s">
        <v>2050</v>
      </c>
      <c r="C10" s="28" t="s">
        <v>281</v>
      </c>
      <c r="D10" s="28" t="s">
        <v>282</v>
      </c>
      <c r="E10" s="29"/>
      <c r="F10" s="29"/>
      <c r="G10" s="29"/>
      <c r="H10" s="28" t="s">
        <v>283</v>
      </c>
      <c r="I10" s="28" t="s">
        <v>71</v>
      </c>
      <c r="J10" s="28" t="s">
        <v>72</v>
      </c>
      <c r="K10" s="28"/>
      <c r="L10" s="28"/>
    </row>
    <row r="11" spans="1:12" ht="21.75" customHeight="1" x14ac:dyDescent="0.2">
      <c r="A11" s="28" t="s">
        <v>2049</v>
      </c>
      <c r="B11" s="28" t="s">
        <v>2050</v>
      </c>
      <c r="C11" s="28" t="s">
        <v>376</v>
      </c>
      <c r="D11" s="28" t="s">
        <v>377</v>
      </c>
      <c r="E11" s="29"/>
      <c r="F11" s="29"/>
      <c r="G11" s="29"/>
      <c r="H11" s="28" t="s">
        <v>378</v>
      </c>
      <c r="I11" s="28" t="s">
        <v>71</v>
      </c>
      <c r="J11" s="28" t="s">
        <v>72</v>
      </c>
      <c r="K11" s="28"/>
      <c r="L11" s="28"/>
    </row>
    <row r="12" spans="1:12" ht="32.25" customHeight="1" x14ac:dyDescent="0.2">
      <c r="A12" s="28" t="s">
        <v>2049</v>
      </c>
      <c r="B12" s="28" t="s">
        <v>461</v>
      </c>
      <c r="C12" s="28" t="s">
        <v>559</v>
      </c>
      <c r="D12" s="28" t="s">
        <v>560</v>
      </c>
      <c r="E12" s="29"/>
      <c r="F12" s="29"/>
      <c r="G12" s="29"/>
      <c r="H12" s="28" t="s">
        <v>562</v>
      </c>
      <c r="I12" s="28" t="s">
        <v>71</v>
      </c>
      <c r="J12" s="28" t="s">
        <v>72</v>
      </c>
      <c r="K12" s="28"/>
      <c r="L12" s="28"/>
    </row>
    <row r="13" spans="1:12" ht="21.75" customHeight="1" x14ac:dyDescent="0.2">
      <c r="A13" s="28" t="s">
        <v>2049</v>
      </c>
      <c r="B13" s="28" t="s">
        <v>461</v>
      </c>
      <c r="C13" s="28" t="s">
        <v>663</v>
      </c>
      <c r="D13" s="28" t="s">
        <v>664</v>
      </c>
      <c r="E13" s="29"/>
      <c r="F13" s="29"/>
      <c r="G13" s="29"/>
      <c r="H13" s="28" t="s">
        <v>666</v>
      </c>
      <c r="I13" s="28" t="s">
        <v>71</v>
      </c>
      <c r="J13" s="28" t="s">
        <v>72</v>
      </c>
      <c r="K13" s="28"/>
      <c r="L13" s="28"/>
    </row>
    <row r="14" spans="1:12" ht="32.25" customHeight="1" x14ac:dyDescent="0.2">
      <c r="A14" s="28" t="s">
        <v>2049</v>
      </c>
      <c r="B14" s="28" t="s">
        <v>464</v>
      </c>
      <c r="C14" s="28" t="s">
        <v>790</v>
      </c>
      <c r="D14" s="28" t="s">
        <v>791</v>
      </c>
      <c r="E14" s="29"/>
      <c r="F14" s="29"/>
      <c r="G14" s="29"/>
      <c r="H14" s="28" t="s">
        <v>792</v>
      </c>
      <c r="I14" s="28" t="s">
        <v>71</v>
      </c>
      <c r="J14" s="28" t="s">
        <v>72</v>
      </c>
      <c r="K14" s="28"/>
      <c r="L14" s="28"/>
    </row>
    <row r="15" spans="1:12" ht="21.75" customHeight="1" x14ac:dyDescent="0.2">
      <c r="A15" s="28" t="s">
        <v>2049</v>
      </c>
      <c r="B15" s="28" t="s">
        <v>464</v>
      </c>
      <c r="C15" s="28" t="s">
        <v>796</v>
      </c>
      <c r="D15" s="28" t="s">
        <v>797</v>
      </c>
      <c r="E15" s="29"/>
      <c r="F15" s="29"/>
      <c r="G15" s="29"/>
      <c r="H15" s="28" t="s">
        <v>798</v>
      </c>
      <c r="I15" s="28" t="s">
        <v>71</v>
      </c>
      <c r="J15" s="28" t="s">
        <v>72</v>
      </c>
      <c r="K15" s="28"/>
      <c r="L15" s="28"/>
    </row>
    <row r="16" spans="1:12" ht="42.75" customHeight="1" x14ac:dyDescent="0.2">
      <c r="A16" s="28" t="s">
        <v>2049</v>
      </c>
      <c r="B16" s="28" t="s">
        <v>467</v>
      </c>
      <c r="C16" s="28" t="s">
        <v>822</v>
      </c>
      <c r="D16" s="28" t="s">
        <v>823</v>
      </c>
      <c r="E16" s="29"/>
      <c r="F16" s="29"/>
      <c r="G16" s="29"/>
      <c r="H16" s="28" t="s">
        <v>824</v>
      </c>
      <c r="I16" s="28" t="s">
        <v>71</v>
      </c>
      <c r="J16" s="28" t="s">
        <v>72</v>
      </c>
      <c r="K16" s="28"/>
      <c r="L16" s="28"/>
    </row>
    <row r="17" spans="1:12" ht="42.75" customHeight="1" x14ac:dyDescent="0.2">
      <c r="A17" s="28" t="s">
        <v>2049</v>
      </c>
      <c r="B17" s="28" t="s">
        <v>467</v>
      </c>
      <c r="C17" s="28" t="s">
        <v>826</v>
      </c>
      <c r="D17" s="28" t="s">
        <v>827</v>
      </c>
      <c r="E17" s="29"/>
      <c r="F17" s="29"/>
      <c r="G17" s="29"/>
      <c r="H17" s="28" t="s">
        <v>828</v>
      </c>
      <c r="I17" s="28" t="s">
        <v>71</v>
      </c>
      <c r="J17" s="28" t="s">
        <v>72</v>
      </c>
      <c r="K17" s="28"/>
      <c r="L17" s="28"/>
    </row>
    <row r="18" spans="1:12" ht="21.75" customHeight="1" x14ac:dyDescent="0.2">
      <c r="A18" s="28" t="s">
        <v>2049</v>
      </c>
      <c r="B18" s="28" t="s">
        <v>470</v>
      </c>
      <c r="C18" s="28" t="s">
        <v>990</v>
      </c>
      <c r="D18" s="28" t="s">
        <v>991</v>
      </c>
      <c r="E18" s="29"/>
      <c r="F18" s="29"/>
      <c r="G18" s="29"/>
      <c r="H18" s="28" t="s">
        <v>992</v>
      </c>
      <c r="I18" s="28" t="s">
        <v>71</v>
      </c>
      <c r="J18" s="28" t="s">
        <v>72</v>
      </c>
      <c r="K18" s="28"/>
      <c r="L18" s="28"/>
    </row>
    <row r="19" spans="1:12" ht="21.75" customHeight="1" x14ac:dyDescent="0.2">
      <c r="A19" s="28" t="s">
        <v>2049</v>
      </c>
      <c r="B19" s="28" t="s">
        <v>2051</v>
      </c>
      <c r="C19" s="28" t="s">
        <v>241</v>
      </c>
      <c r="D19" s="28" t="s">
        <v>242</v>
      </c>
      <c r="E19" s="29"/>
      <c r="F19" s="29"/>
      <c r="G19" s="29"/>
      <c r="H19" s="28" t="s">
        <v>1043</v>
      </c>
      <c r="I19" s="28" t="s">
        <v>71</v>
      </c>
      <c r="J19" s="28" t="s">
        <v>72</v>
      </c>
      <c r="K19" s="28"/>
      <c r="L19" s="28"/>
    </row>
    <row r="20" spans="1:12" ht="21.75" customHeight="1" x14ac:dyDescent="0.2">
      <c r="A20" s="28" t="s">
        <v>2049</v>
      </c>
      <c r="B20" s="28" t="s">
        <v>2051</v>
      </c>
      <c r="C20" s="28" t="s">
        <v>246</v>
      </c>
      <c r="D20" s="28" t="s">
        <v>247</v>
      </c>
      <c r="E20" s="29"/>
      <c r="F20" s="29"/>
      <c r="G20" s="29"/>
      <c r="H20" s="28" t="s">
        <v>1045</v>
      </c>
      <c r="I20" s="28" t="s">
        <v>71</v>
      </c>
      <c r="J20" s="28" t="s">
        <v>72</v>
      </c>
      <c r="K20" s="28"/>
      <c r="L20" s="28"/>
    </row>
    <row r="21" spans="1:12" ht="21.75" customHeight="1" x14ac:dyDescent="0.2">
      <c r="A21" s="28" t="s">
        <v>2049</v>
      </c>
      <c r="B21" s="28" t="s">
        <v>2051</v>
      </c>
      <c r="C21" s="28" t="s">
        <v>256</v>
      </c>
      <c r="D21" s="28" t="s">
        <v>257</v>
      </c>
      <c r="E21" s="29"/>
      <c r="F21" s="29"/>
      <c r="G21" s="29"/>
      <c r="H21" s="28" t="s">
        <v>1048</v>
      </c>
      <c r="I21" s="28" t="s">
        <v>71</v>
      </c>
      <c r="J21" s="28" t="s">
        <v>72</v>
      </c>
      <c r="K21" s="28"/>
      <c r="L21" s="28"/>
    </row>
    <row r="22" spans="1:12" ht="21.75" customHeight="1" x14ac:dyDescent="0.2">
      <c r="A22" s="28" t="s">
        <v>2049</v>
      </c>
      <c r="B22" s="28" t="s">
        <v>2051</v>
      </c>
      <c r="C22" s="28" t="s">
        <v>281</v>
      </c>
      <c r="D22" s="28" t="s">
        <v>282</v>
      </c>
      <c r="E22" s="29"/>
      <c r="F22" s="29"/>
      <c r="G22" s="29"/>
      <c r="H22" s="28" t="s">
        <v>1065</v>
      </c>
      <c r="I22" s="28" t="s">
        <v>71</v>
      </c>
      <c r="J22" s="28" t="s">
        <v>72</v>
      </c>
      <c r="K22" s="28"/>
      <c r="L22" s="28"/>
    </row>
    <row r="23" spans="1:12" ht="15" customHeight="1" x14ac:dyDescent="0.2">
      <c r="A23" s="28" t="s">
        <v>2049</v>
      </c>
      <c r="B23" s="28" t="s">
        <v>2051</v>
      </c>
      <c r="C23" s="28" t="s">
        <v>926</v>
      </c>
      <c r="D23" s="28" t="s">
        <v>1089</v>
      </c>
      <c r="E23" s="29"/>
      <c r="F23" s="29"/>
      <c r="G23" s="29"/>
      <c r="H23" s="28" t="s">
        <v>1090</v>
      </c>
      <c r="I23" s="28" t="s">
        <v>71</v>
      </c>
      <c r="J23" s="28" t="s">
        <v>72</v>
      </c>
      <c r="K23" s="28"/>
      <c r="L23" s="28"/>
    </row>
    <row r="24" spans="1:12" ht="21.75" customHeight="1" x14ac:dyDescent="0.2">
      <c r="A24" s="28" t="s">
        <v>2049</v>
      </c>
      <c r="B24" s="28" t="s">
        <v>2051</v>
      </c>
      <c r="C24" s="28" t="s">
        <v>1234</v>
      </c>
      <c r="D24" s="28" t="s">
        <v>1235</v>
      </c>
      <c r="E24" s="29"/>
      <c r="F24" s="29"/>
      <c r="G24" s="29"/>
      <c r="H24" s="28" t="s">
        <v>1236</v>
      </c>
      <c r="I24" s="28" t="s">
        <v>71</v>
      </c>
      <c r="J24" s="28" t="s">
        <v>72</v>
      </c>
      <c r="K24" s="28"/>
      <c r="L24" s="28"/>
    </row>
    <row r="25" spans="1:12" ht="21.75" customHeight="1" x14ac:dyDescent="0.2">
      <c r="A25" s="28" t="s">
        <v>2049</v>
      </c>
      <c r="B25" s="28" t="s">
        <v>2051</v>
      </c>
      <c r="C25" s="28" t="s">
        <v>961</v>
      </c>
      <c r="D25" s="28" t="s">
        <v>1245</v>
      </c>
      <c r="E25" s="29"/>
      <c r="F25" s="29"/>
      <c r="G25" s="29"/>
      <c r="H25" s="28" t="s">
        <v>1246</v>
      </c>
      <c r="I25" s="28" t="s">
        <v>71</v>
      </c>
      <c r="J25" s="28" t="s">
        <v>72</v>
      </c>
      <c r="K25" s="28"/>
      <c r="L25" s="28"/>
    </row>
    <row r="26" spans="1:12" ht="15" customHeight="1" x14ac:dyDescent="0.2">
      <c r="A26" s="28" t="s">
        <v>2049</v>
      </c>
      <c r="B26" s="28" t="s">
        <v>2051</v>
      </c>
      <c r="C26" s="28" t="s">
        <v>225</v>
      </c>
      <c r="D26" s="28" t="s">
        <v>1248</v>
      </c>
      <c r="E26" s="29"/>
      <c r="F26" s="29"/>
      <c r="G26" s="29"/>
      <c r="H26" s="28" t="s">
        <v>1249</v>
      </c>
      <c r="I26" s="28" t="s">
        <v>71</v>
      </c>
      <c r="J26" s="28" t="s">
        <v>72</v>
      </c>
      <c r="K26" s="28"/>
      <c r="L26" s="28"/>
    </row>
    <row r="27" spans="1:12" ht="21.75" customHeight="1" x14ac:dyDescent="0.2">
      <c r="A27" s="28" t="s">
        <v>2049</v>
      </c>
      <c r="B27" s="28" t="s">
        <v>2051</v>
      </c>
      <c r="C27" s="28" t="s">
        <v>230</v>
      </c>
      <c r="D27" s="28" t="s">
        <v>1251</v>
      </c>
      <c r="E27" s="29"/>
      <c r="F27" s="29"/>
      <c r="G27" s="29"/>
      <c r="H27" s="28" t="s">
        <v>1252</v>
      </c>
      <c r="I27" s="28" t="s">
        <v>71</v>
      </c>
      <c r="J27" s="28" t="s">
        <v>72</v>
      </c>
      <c r="K27" s="28"/>
      <c r="L27" s="28"/>
    </row>
    <row r="28" spans="1:12" ht="15" customHeight="1" x14ac:dyDescent="0.2">
      <c r="A28" s="28" t="s">
        <v>2049</v>
      </c>
      <c r="B28" s="28" t="s">
        <v>2051</v>
      </c>
      <c r="C28" s="28" t="s">
        <v>972</v>
      </c>
      <c r="D28" s="28" t="s">
        <v>1254</v>
      </c>
      <c r="E28" s="29"/>
      <c r="F28" s="29"/>
      <c r="G28" s="29"/>
      <c r="H28" s="28" t="s">
        <v>1255</v>
      </c>
      <c r="I28" s="28" t="s">
        <v>71</v>
      </c>
      <c r="J28" s="28" t="s">
        <v>72</v>
      </c>
      <c r="K28" s="28"/>
      <c r="L28" s="28"/>
    </row>
    <row r="29" spans="1:12" ht="15" customHeight="1" x14ac:dyDescent="0.2">
      <c r="A29" s="28" t="s">
        <v>2049</v>
      </c>
      <c r="B29" s="28" t="s">
        <v>2051</v>
      </c>
      <c r="C29" s="28" t="s">
        <v>1261</v>
      </c>
      <c r="D29" s="28" t="s">
        <v>1262</v>
      </c>
      <c r="E29" s="29" t="s">
        <v>67</v>
      </c>
      <c r="F29" s="29"/>
      <c r="G29" s="29"/>
      <c r="H29" s="28" t="s">
        <v>1263</v>
      </c>
      <c r="I29" s="28" t="s">
        <v>71</v>
      </c>
      <c r="J29" s="28" t="s">
        <v>72</v>
      </c>
      <c r="K29" s="28"/>
      <c r="L29" s="28"/>
    </row>
    <row r="30" spans="1:12" ht="15" customHeight="1" x14ac:dyDescent="0.2">
      <c r="A30" s="28" t="s">
        <v>2049</v>
      </c>
      <c r="B30" s="28" t="s">
        <v>2051</v>
      </c>
      <c r="C30" s="28" t="s">
        <v>1266</v>
      </c>
      <c r="D30" s="28" t="s">
        <v>1267</v>
      </c>
      <c r="E30" s="29" t="s">
        <v>67</v>
      </c>
      <c r="F30" s="29" t="s">
        <v>67</v>
      </c>
      <c r="G30" s="29" t="s">
        <v>67</v>
      </c>
      <c r="H30" s="28" t="s">
        <v>1268</v>
      </c>
      <c r="I30" s="28" t="s">
        <v>71</v>
      </c>
      <c r="J30" s="28" t="s">
        <v>72</v>
      </c>
      <c r="K30" s="28"/>
      <c r="L30" s="28"/>
    </row>
    <row r="31" spans="1:12" ht="15" customHeight="1" x14ac:dyDescent="0.2">
      <c r="A31" s="28" t="s">
        <v>2049</v>
      </c>
      <c r="B31" s="28" t="s">
        <v>2051</v>
      </c>
      <c r="C31" s="28" t="s">
        <v>1372</v>
      </c>
      <c r="D31" s="28" t="s">
        <v>1373</v>
      </c>
      <c r="E31" s="29"/>
      <c r="F31" s="29" t="s">
        <v>67</v>
      </c>
      <c r="G31" s="29" t="s">
        <v>67</v>
      </c>
      <c r="H31" s="28" t="s">
        <v>1374</v>
      </c>
      <c r="I31" s="28" t="s">
        <v>71</v>
      </c>
      <c r="J31" s="28" t="s">
        <v>72</v>
      </c>
      <c r="K31" s="28"/>
      <c r="L31" s="28"/>
    </row>
    <row r="32" spans="1:12" ht="32.25" customHeight="1" x14ac:dyDescent="0.2">
      <c r="A32" s="28" t="s">
        <v>2049</v>
      </c>
      <c r="B32" s="28" t="s">
        <v>476</v>
      </c>
      <c r="C32" s="28" t="s">
        <v>176</v>
      </c>
      <c r="D32" s="28" t="s">
        <v>1517</v>
      </c>
      <c r="E32" s="29"/>
      <c r="F32" s="29"/>
      <c r="G32" s="29"/>
      <c r="H32" s="28" t="s">
        <v>1518</v>
      </c>
      <c r="I32" s="28" t="s">
        <v>71</v>
      </c>
      <c r="J32" s="28" t="s">
        <v>72</v>
      </c>
      <c r="K32" s="28"/>
      <c r="L32" s="28"/>
    </row>
    <row r="33" spans="1:12" ht="21.75" customHeight="1" x14ac:dyDescent="0.2">
      <c r="A33" s="28" t="s">
        <v>2049</v>
      </c>
      <c r="B33" s="28" t="s">
        <v>476</v>
      </c>
      <c r="C33" s="28" t="s">
        <v>187</v>
      </c>
      <c r="D33" s="28" t="s">
        <v>242</v>
      </c>
      <c r="E33" s="29"/>
      <c r="F33" s="29"/>
      <c r="G33" s="29"/>
      <c r="H33" s="28" t="s">
        <v>1528</v>
      </c>
      <c r="I33" s="28" t="s">
        <v>71</v>
      </c>
      <c r="J33" s="28" t="s">
        <v>72</v>
      </c>
      <c r="K33" s="28"/>
      <c r="L33" s="28"/>
    </row>
    <row r="34" spans="1:12" ht="21.75" customHeight="1" x14ac:dyDescent="0.2">
      <c r="A34" s="28" t="s">
        <v>2049</v>
      </c>
      <c r="B34" s="28" t="s">
        <v>476</v>
      </c>
      <c r="C34" s="28" t="s">
        <v>1555</v>
      </c>
      <c r="D34" s="28" t="s">
        <v>1556</v>
      </c>
      <c r="E34" s="29"/>
      <c r="F34" s="29"/>
      <c r="G34" s="29"/>
      <c r="H34" s="28" t="s">
        <v>1557</v>
      </c>
      <c r="I34" s="28" t="s">
        <v>71</v>
      </c>
      <c r="J34" s="28" t="s">
        <v>72</v>
      </c>
      <c r="K34" s="28"/>
      <c r="L34" s="28"/>
    </row>
    <row r="35" spans="1:12" ht="21.75" customHeight="1" x14ac:dyDescent="0.2">
      <c r="A35" s="28" t="s">
        <v>2049</v>
      </c>
      <c r="B35" s="28" t="s">
        <v>476</v>
      </c>
      <c r="C35" s="28" t="s">
        <v>241</v>
      </c>
      <c r="D35" s="28" t="s">
        <v>1592</v>
      </c>
      <c r="E35" s="29"/>
      <c r="F35" s="29"/>
      <c r="G35" s="29"/>
      <c r="H35" s="28" t="s">
        <v>1593</v>
      </c>
      <c r="I35" s="28" t="s">
        <v>71</v>
      </c>
      <c r="J35" s="28" t="s">
        <v>72</v>
      </c>
      <c r="K35" s="28"/>
      <c r="L35" s="28"/>
    </row>
    <row r="36" spans="1:12" ht="21.75" customHeight="1" x14ac:dyDescent="0.2">
      <c r="A36" s="28" t="s">
        <v>2049</v>
      </c>
      <c r="B36" s="28" t="s">
        <v>476</v>
      </c>
      <c r="C36" s="28" t="s">
        <v>251</v>
      </c>
      <c r="D36" s="28" t="s">
        <v>1601</v>
      </c>
      <c r="E36" s="29" t="s">
        <v>67</v>
      </c>
      <c r="F36" s="29" t="s">
        <v>67</v>
      </c>
      <c r="G36" s="29"/>
      <c r="H36" s="28" t="s">
        <v>1602</v>
      </c>
      <c r="I36" s="28" t="s">
        <v>71</v>
      </c>
      <c r="J36" s="28" t="s">
        <v>72</v>
      </c>
      <c r="K36" s="28"/>
      <c r="L36" s="28"/>
    </row>
    <row r="37" spans="1:12" ht="21.75" customHeight="1" x14ac:dyDescent="0.2">
      <c r="A37" s="28" t="s">
        <v>2049</v>
      </c>
      <c r="B37" s="28" t="s">
        <v>476</v>
      </c>
      <c r="C37" s="28" t="s">
        <v>84</v>
      </c>
      <c r="D37" s="28" t="s">
        <v>1618</v>
      </c>
      <c r="E37" s="29"/>
      <c r="F37" s="29" t="s">
        <v>67</v>
      </c>
      <c r="G37" s="29"/>
      <c r="H37" s="28" t="s">
        <v>1619</v>
      </c>
      <c r="I37" s="28" t="s">
        <v>71</v>
      </c>
      <c r="J37" s="28" t="s">
        <v>72</v>
      </c>
      <c r="K37" s="28"/>
      <c r="L37" s="28"/>
    </row>
    <row r="38" spans="1:12" ht="21.75" customHeight="1" x14ac:dyDescent="0.2">
      <c r="A38" s="28" t="s">
        <v>2049</v>
      </c>
      <c r="B38" s="28" t="s">
        <v>484</v>
      </c>
      <c r="C38" s="28" t="s">
        <v>930</v>
      </c>
      <c r="D38" s="28" t="s">
        <v>1977</v>
      </c>
      <c r="E38" s="29"/>
      <c r="F38" s="29"/>
      <c r="G38" s="29"/>
      <c r="H38" s="28" t="s">
        <v>1978</v>
      </c>
      <c r="I38" s="28" t="s">
        <v>71</v>
      </c>
      <c r="J38" s="28" t="s">
        <v>72</v>
      </c>
      <c r="K38" s="28"/>
      <c r="L38" s="28"/>
    </row>
    <row r="39" spans="1:12" ht="21.75" customHeight="1" x14ac:dyDescent="0.2">
      <c r="A39" s="28" t="s">
        <v>2049</v>
      </c>
      <c r="B39" s="28" t="s">
        <v>484</v>
      </c>
      <c r="C39" s="28" t="s">
        <v>1995</v>
      </c>
      <c r="D39" s="28" t="s">
        <v>1996</v>
      </c>
      <c r="E39" s="29"/>
      <c r="F39" s="29"/>
      <c r="G39" s="29"/>
      <c r="H39" s="28" t="s">
        <v>1997</v>
      </c>
      <c r="I39" s="28" t="s">
        <v>71</v>
      </c>
      <c r="J39" s="28" t="s">
        <v>72</v>
      </c>
      <c r="K39" s="28"/>
      <c r="L39" s="28"/>
    </row>
    <row r="40" spans="1:12" ht="32.25" customHeight="1" x14ac:dyDescent="0.2">
      <c r="A40" s="28" t="s">
        <v>2049</v>
      </c>
      <c r="B40" s="28" t="s">
        <v>484</v>
      </c>
      <c r="C40" s="28" t="s">
        <v>2040</v>
      </c>
      <c r="D40" s="28" t="s">
        <v>2041</v>
      </c>
      <c r="E40" s="29"/>
      <c r="F40" s="29"/>
      <c r="G40" s="29"/>
      <c r="H40" s="28" t="s">
        <v>2042</v>
      </c>
      <c r="I40" s="28" t="s">
        <v>71</v>
      </c>
      <c r="J40" s="28" t="s">
        <v>72</v>
      </c>
      <c r="K40" s="28"/>
      <c r="L40" s="28"/>
    </row>
    <row r="41" spans="1:12" ht="32.25" customHeight="1" x14ac:dyDescent="0.2">
      <c r="A41" s="28" t="s">
        <v>2049</v>
      </c>
      <c r="B41" s="28" t="s">
        <v>2052</v>
      </c>
      <c r="C41" s="28" t="s">
        <v>782</v>
      </c>
      <c r="D41" s="28" t="s">
        <v>2053</v>
      </c>
      <c r="E41" s="29"/>
      <c r="F41" s="29"/>
      <c r="G41" s="29"/>
      <c r="H41" s="28" t="s">
        <v>2054</v>
      </c>
      <c r="I41" s="28" t="s">
        <v>71</v>
      </c>
      <c r="J41" s="28" t="s">
        <v>72</v>
      </c>
      <c r="K41" s="28"/>
      <c r="L41" s="28"/>
    </row>
    <row r="42" spans="1:12" ht="32.25" customHeight="1" x14ac:dyDescent="0.2">
      <c r="A42" s="28" t="s">
        <v>2049</v>
      </c>
      <c r="B42" s="28" t="s">
        <v>2052</v>
      </c>
      <c r="C42" s="28" t="s">
        <v>246</v>
      </c>
      <c r="D42" s="28" t="s">
        <v>2055</v>
      </c>
      <c r="E42" s="29"/>
      <c r="F42" s="29"/>
      <c r="G42" s="29"/>
      <c r="H42" s="28" t="s">
        <v>2056</v>
      </c>
      <c r="I42" s="28" t="s">
        <v>71</v>
      </c>
      <c r="J42" s="28" t="s">
        <v>72</v>
      </c>
      <c r="K42" s="28"/>
      <c r="L42" s="28"/>
    </row>
    <row r="43" spans="1:12" ht="32.25" customHeight="1" x14ac:dyDescent="0.2">
      <c r="A43" s="28" t="s">
        <v>2049</v>
      </c>
      <c r="B43" s="28" t="s">
        <v>493</v>
      </c>
      <c r="C43" s="28" t="s">
        <v>930</v>
      </c>
      <c r="D43" s="28" t="s">
        <v>2057</v>
      </c>
      <c r="E43" s="29"/>
      <c r="F43" s="29"/>
      <c r="G43" s="29"/>
      <c r="H43" s="28" t="s">
        <v>2058</v>
      </c>
      <c r="I43" s="28" t="s">
        <v>71</v>
      </c>
      <c r="J43" s="28" t="s">
        <v>72</v>
      </c>
      <c r="K43" s="28"/>
      <c r="L43" s="28"/>
    </row>
    <row r="44" spans="1:12" ht="32.25" customHeight="1" x14ac:dyDescent="0.2">
      <c r="A44" s="28" t="s">
        <v>2049</v>
      </c>
      <c r="B44" s="28" t="s">
        <v>493</v>
      </c>
      <c r="C44" s="28" t="s">
        <v>241</v>
      </c>
      <c r="D44" s="28" t="s">
        <v>2059</v>
      </c>
      <c r="E44" s="29"/>
      <c r="F44" s="29"/>
      <c r="G44" s="29"/>
      <c r="H44" s="28" t="s">
        <v>2060</v>
      </c>
      <c r="I44" s="28" t="s">
        <v>71</v>
      </c>
      <c r="J44" s="28" t="s">
        <v>72</v>
      </c>
      <c r="K44" s="28"/>
      <c r="L44" s="28"/>
    </row>
    <row r="45" spans="1:12" ht="32.25" customHeight="1" x14ac:dyDescent="0.2">
      <c r="A45" s="28" t="s">
        <v>2049</v>
      </c>
      <c r="B45" s="28" t="s">
        <v>505</v>
      </c>
      <c r="C45" s="28" t="s">
        <v>2061</v>
      </c>
      <c r="D45" s="28" t="s">
        <v>2062</v>
      </c>
      <c r="E45" s="29"/>
      <c r="F45" s="29"/>
      <c r="G45" s="29"/>
      <c r="H45" s="28" t="s">
        <v>2063</v>
      </c>
      <c r="I45" s="28" t="s">
        <v>71</v>
      </c>
      <c r="J45" s="28" t="s">
        <v>72</v>
      </c>
      <c r="K45" s="28"/>
      <c r="L45" s="28"/>
    </row>
    <row r="46" spans="1:12" ht="32.25" customHeight="1" x14ac:dyDescent="0.2">
      <c r="A46" s="28" t="s">
        <v>2049</v>
      </c>
      <c r="B46" s="28" t="s">
        <v>508</v>
      </c>
      <c r="C46" s="28" t="s">
        <v>197</v>
      </c>
      <c r="D46" s="28" t="s">
        <v>2064</v>
      </c>
      <c r="E46" s="29" t="s">
        <v>67</v>
      </c>
      <c r="F46" s="29" t="s">
        <v>67</v>
      </c>
      <c r="G46" s="29" t="s">
        <v>67</v>
      </c>
      <c r="H46" s="28" t="s">
        <v>2065</v>
      </c>
      <c r="I46" s="28" t="s">
        <v>71</v>
      </c>
      <c r="J46" s="28" t="s">
        <v>72</v>
      </c>
      <c r="K46" s="28"/>
      <c r="L46" s="28"/>
    </row>
    <row r="47" spans="1:12" ht="32.25" customHeight="1" x14ac:dyDescent="0.2">
      <c r="A47" s="28" t="s">
        <v>2049</v>
      </c>
      <c r="B47" s="28" t="s">
        <v>508</v>
      </c>
      <c r="C47" s="28" t="s">
        <v>1271</v>
      </c>
      <c r="D47" s="28" t="s">
        <v>2066</v>
      </c>
      <c r="E47" s="29"/>
      <c r="F47" s="29"/>
      <c r="G47" s="29"/>
      <c r="H47" s="28" t="s">
        <v>2067</v>
      </c>
      <c r="I47" s="28" t="s">
        <v>71</v>
      </c>
      <c r="J47" s="28" t="s">
        <v>72</v>
      </c>
      <c r="K47" s="28"/>
      <c r="L47" s="28"/>
    </row>
    <row r="48" spans="1:12" ht="32.25" customHeight="1" x14ac:dyDescent="0.2">
      <c r="A48" s="28" t="s">
        <v>2049</v>
      </c>
      <c r="B48" s="28" t="s">
        <v>508</v>
      </c>
      <c r="C48" s="28" t="s">
        <v>235</v>
      </c>
      <c r="D48" s="28" t="s">
        <v>2068</v>
      </c>
      <c r="E48" s="29" t="s">
        <v>67</v>
      </c>
      <c r="F48" s="29" t="s">
        <v>67</v>
      </c>
      <c r="G48" s="29" t="s">
        <v>67</v>
      </c>
      <c r="H48" s="28" t="s">
        <v>2069</v>
      </c>
      <c r="I48" s="28" t="s">
        <v>71</v>
      </c>
      <c r="J48" s="28" t="s">
        <v>72</v>
      </c>
      <c r="K48" s="28"/>
      <c r="L48" s="28"/>
    </row>
    <row r="49" spans="1:12" ht="32.25" customHeight="1" x14ac:dyDescent="0.2">
      <c r="A49" s="28" t="s">
        <v>2049</v>
      </c>
      <c r="B49" s="28" t="s">
        <v>508</v>
      </c>
      <c r="C49" s="28" t="s">
        <v>2070</v>
      </c>
      <c r="D49" s="28" t="s">
        <v>2071</v>
      </c>
      <c r="E49" s="29" t="s">
        <v>67</v>
      </c>
      <c r="F49" s="29" t="s">
        <v>67</v>
      </c>
      <c r="G49" s="29"/>
      <c r="H49" s="28" t="s">
        <v>2072</v>
      </c>
      <c r="I49" s="28" t="s">
        <v>71</v>
      </c>
      <c r="J49" s="28" t="s">
        <v>72</v>
      </c>
      <c r="K49" s="28"/>
      <c r="L49" s="28"/>
    </row>
    <row r="50" spans="1:12" ht="21.75" customHeight="1" x14ac:dyDescent="0.2">
      <c r="A50" s="28" t="s">
        <v>2049</v>
      </c>
      <c r="B50" s="28" t="s">
        <v>11</v>
      </c>
      <c r="C50" s="28" t="s">
        <v>2073</v>
      </c>
      <c r="D50" s="28" t="s">
        <v>2074</v>
      </c>
      <c r="E50" s="29"/>
      <c r="F50" s="29" t="s">
        <v>67</v>
      </c>
      <c r="G50" s="29"/>
      <c r="H50" s="28" t="s">
        <v>2075</v>
      </c>
      <c r="I50" s="28" t="s">
        <v>71</v>
      </c>
      <c r="J50" s="28" t="s">
        <v>72</v>
      </c>
      <c r="K50" s="28"/>
      <c r="L50" s="28"/>
    </row>
    <row r="51" spans="1:12" ht="15" customHeight="1" x14ac:dyDescent="0.2">
      <c r="A51" s="6" t="s">
        <v>2076</v>
      </c>
      <c r="B51" s="6"/>
      <c r="C51" s="6"/>
      <c r="D51" s="6"/>
      <c r="E51" s="6"/>
      <c r="F51" s="6"/>
      <c r="G51" s="6"/>
      <c r="H51" s="6"/>
      <c r="I51" s="6"/>
      <c r="J51" s="6"/>
      <c r="K51" s="6"/>
      <c r="L51" s="6"/>
    </row>
    <row r="52" spans="1:12" ht="32.25" customHeight="1" x14ac:dyDescent="0.2">
      <c r="A52" s="28" t="s">
        <v>2077</v>
      </c>
      <c r="B52" s="28" t="s">
        <v>2050</v>
      </c>
      <c r="C52" s="28" t="s">
        <v>182</v>
      </c>
      <c r="D52" s="28" t="s">
        <v>183</v>
      </c>
      <c r="E52" s="29"/>
      <c r="F52" s="29"/>
      <c r="G52" s="29"/>
      <c r="H52" s="28" t="s">
        <v>184</v>
      </c>
      <c r="I52" s="28" t="s">
        <v>71</v>
      </c>
      <c r="J52" s="28" t="s">
        <v>72</v>
      </c>
      <c r="K52" s="28"/>
      <c r="L52" s="28"/>
    </row>
    <row r="53" spans="1:12" ht="21.75" customHeight="1" x14ac:dyDescent="0.2">
      <c r="A53" s="28" t="s">
        <v>2077</v>
      </c>
      <c r="B53" s="28" t="s">
        <v>2050</v>
      </c>
      <c r="C53" s="28" t="s">
        <v>192</v>
      </c>
      <c r="D53" s="28" t="s">
        <v>193</v>
      </c>
      <c r="E53" s="29"/>
      <c r="F53" s="29"/>
      <c r="G53" s="29"/>
      <c r="H53" s="28" t="s">
        <v>194</v>
      </c>
      <c r="I53" s="28" t="s">
        <v>71</v>
      </c>
      <c r="J53" s="28" t="s">
        <v>72</v>
      </c>
      <c r="K53" s="28"/>
      <c r="L53" s="28"/>
    </row>
    <row r="54" spans="1:12" ht="32.25" customHeight="1" x14ac:dyDescent="0.2">
      <c r="A54" s="28" t="s">
        <v>2077</v>
      </c>
      <c r="B54" s="28" t="s">
        <v>2050</v>
      </c>
      <c r="C54" s="28" t="s">
        <v>197</v>
      </c>
      <c r="D54" s="28" t="s">
        <v>198</v>
      </c>
      <c r="E54" s="29"/>
      <c r="F54" s="29"/>
      <c r="G54" s="29"/>
      <c r="H54" s="28" t="s">
        <v>199</v>
      </c>
      <c r="I54" s="28" t="s">
        <v>71</v>
      </c>
      <c r="J54" s="28" t="s">
        <v>72</v>
      </c>
      <c r="K54" s="28"/>
      <c r="L54" s="28"/>
    </row>
    <row r="55" spans="1:12" ht="21.75" customHeight="1" x14ac:dyDescent="0.2">
      <c r="A55" s="28" t="s">
        <v>2077</v>
      </c>
      <c r="B55" s="28" t="s">
        <v>2050</v>
      </c>
      <c r="C55" s="28" t="s">
        <v>225</v>
      </c>
      <c r="D55" s="28" t="s">
        <v>226</v>
      </c>
      <c r="E55" s="29"/>
      <c r="F55" s="29"/>
      <c r="G55" s="29"/>
      <c r="H55" s="28" t="s">
        <v>227</v>
      </c>
      <c r="I55" s="28" t="s">
        <v>71</v>
      </c>
      <c r="J55" s="28" t="s">
        <v>72</v>
      </c>
      <c r="K55" s="28"/>
      <c r="L55" s="28"/>
    </row>
    <row r="56" spans="1:12" ht="15" customHeight="1" x14ac:dyDescent="0.2">
      <c r="A56" s="28" t="s">
        <v>2077</v>
      </c>
      <c r="B56" s="28" t="s">
        <v>2050</v>
      </c>
      <c r="C56" s="28" t="s">
        <v>230</v>
      </c>
      <c r="D56" s="28" t="s">
        <v>231</v>
      </c>
      <c r="E56" s="29"/>
      <c r="F56" s="29"/>
      <c r="G56" s="29"/>
      <c r="H56" s="28" t="s">
        <v>232</v>
      </c>
      <c r="I56" s="28" t="s">
        <v>71</v>
      </c>
      <c r="J56" s="28" t="s">
        <v>72</v>
      </c>
      <c r="K56" s="28"/>
      <c r="L56" s="28"/>
    </row>
    <row r="57" spans="1:12" ht="21.75" customHeight="1" x14ac:dyDescent="0.2">
      <c r="A57" s="28" t="s">
        <v>2077</v>
      </c>
      <c r="B57" s="28" t="s">
        <v>2050</v>
      </c>
      <c r="C57" s="28" t="s">
        <v>235</v>
      </c>
      <c r="D57" s="28" t="s">
        <v>236</v>
      </c>
      <c r="E57" s="29"/>
      <c r="F57" s="29"/>
      <c r="G57" s="29"/>
      <c r="H57" s="28" t="s">
        <v>237</v>
      </c>
      <c r="I57" s="28" t="s">
        <v>71</v>
      </c>
      <c r="J57" s="28" t="s">
        <v>72</v>
      </c>
      <c r="K57" s="28"/>
      <c r="L57" s="28"/>
    </row>
    <row r="58" spans="1:12" ht="21.75" customHeight="1" x14ac:dyDescent="0.2">
      <c r="A58" s="28" t="s">
        <v>2077</v>
      </c>
      <c r="B58" s="28" t="s">
        <v>2050</v>
      </c>
      <c r="C58" s="28" t="s">
        <v>251</v>
      </c>
      <c r="D58" s="28" t="s">
        <v>252</v>
      </c>
      <c r="E58" s="29"/>
      <c r="F58" s="29"/>
      <c r="G58" s="29"/>
      <c r="H58" s="28" t="s">
        <v>253</v>
      </c>
      <c r="I58" s="28" t="s">
        <v>71</v>
      </c>
      <c r="J58" s="28" t="s">
        <v>72</v>
      </c>
      <c r="K58" s="28"/>
      <c r="L58" s="28"/>
    </row>
    <row r="59" spans="1:12" ht="15" customHeight="1" x14ac:dyDescent="0.2">
      <c r="A59" s="28" t="s">
        <v>2077</v>
      </c>
      <c r="B59" s="28" t="s">
        <v>2050</v>
      </c>
      <c r="C59" s="28" t="s">
        <v>311</v>
      </c>
      <c r="D59" s="28" t="s">
        <v>204</v>
      </c>
      <c r="E59" s="29"/>
      <c r="F59" s="29"/>
      <c r="G59" s="29"/>
      <c r="H59" s="28" t="s">
        <v>312</v>
      </c>
      <c r="I59" s="28" t="s">
        <v>71</v>
      </c>
      <c r="J59" s="28" t="s">
        <v>72</v>
      </c>
      <c r="K59" s="28"/>
      <c r="L59" s="28"/>
    </row>
    <row r="60" spans="1:12" ht="21.75" customHeight="1" x14ac:dyDescent="0.2">
      <c r="A60" s="28" t="s">
        <v>2077</v>
      </c>
      <c r="B60" s="28" t="s">
        <v>2050</v>
      </c>
      <c r="C60" s="28" t="s">
        <v>316</v>
      </c>
      <c r="D60" s="28" t="s">
        <v>317</v>
      </c>
      <c r="E60" s="29"/>
      <c r="F60" s="29"/>
      <c r="G60" s="29"/>
      <c r="H60" s="28" t="s">
        <v>318</v>
      </c>
      <c r="I60" s="28" t="s">
        <v>71</v>
      </c>
      <c r="J60" s="28" t="s">
        <v>72</v>
      </c>
      <c r="K60" s="28"/>
      <c r="L60" s="28"/>
    </row>
    <row r="61" spans="1:12" ht="21.75" customHeight="1" x14ac:dyDescent="0.2">
      <c r="A61" s="28" t="s">
        <v>2077</v>
      </c>
      <c r="B61" s="28" t="s">
        <v>2050</v>
      </c>
      <c r="C61" s="28" t="s">
        <v>321</v>
      </c>
      <c r="D61" s="28" t="s">
        <v>322</v>
      </c>
      <c r="E61" s="29"/>
      <c r="F61" s="29"/>
      <c r="G61" s="29"/>
      <c r="H61" s="28" t="s">
        <v>323</v>
      </c>
      <c r="I61" s="28" t="s">
        <v>71</v>
      </c>
      <c r="J61" s="28" t="s">
        <v>72</v>
      </c>
      <c r="K61" s="28"/>
      <c r="L61" s="28"/>
    </row>
    <row r="62" spans="1:12" ht="15" customHeight="1" x14ac:dyDescent="0.2">
      <c r="A62" s="28" t="s">
        <v>2077</v>
      </c>
      <c r="B62" s="28" t="s">
        <v>2050</v>
      </c>
      <c r="C62" s="28" t="s">
        <v>409</v>
      </c>
      <c r="D62" s="28" t="s">
        <v>410</v>
      </c>
      <c r="E62" s="29"/>
      <c r="F62" s="29"/>
      <c r="G62" s="29"/>
      <c r="H62" s="28" t="s">
        <v>411</v>
      </c>
      <c r="I62" s="28" t="s">
        <v>71</v>
      </c>
      <c r="J62" s="28" t="s">
        <v>72</v>
      </c>
      <c r="K62" s="28"/>
      <c r="L62" s="28"/>
    </row>
    <row r="63" spans="1:12" ht="21.75" customHeight="1" x14ac:dyDescent="0.2">
      <c r="A63" s="28" t="s">
        <v>2077</v>
      </c>
      <c r="B63" s="28" t="s">
        <v>2050</v>
      </c>
      <c r="C63" s="28" t="s">
        <v>414</v>
      </c>
      <c r="D63" s="28" t="s">
        <v>415</v>
      </c>
      <c r="E63" s="29"/>
      <c r="F63" s="29"/>
      <c r="G63" s="29"/>
      <c r="H63" s="28" t="s">
        <v>416</v>
      </c>
      <c r="I63" s="28" t="s">
        <v>71</v>
      </c>
      <c r="J63" s="28" t="s">
        <v>72</v>
      </c>
      <c r="K63" s="28"/>
      <c r="L63" s="28"/>
    </row>
    <row r="64" spans="1:12" ht="15" customHeight="1" x14ac:dyDescent="0.2">
      <c r="A64" s="28" t="s">
        <v>2077</v>
      </c>
      <c r="B64" s="28" t="s">
        <v>2050</v>
      </c>
      <c r="C64" s="28" t="s">
        <v>425</v>
      </c>
      <c r="D64" s="28" t="s">
        <v>426</v>
      </c>
      <c r="E64" s="29"/>
      <c r="F64" s="29"/>
      <c r="G64" s="29"/>
      <c r="H64" s="28" t="s">
        <v>427</v>
      </c>
      <c r="I64" s="28" t="s">
        <v>71</v>
      </c>
      <c r="J64" s="28" t="s">
        <v>72</v>
      </c>
      <c r="K64" s="28"/>
      <c r="L64" s="28"/>
    </row>
    <row r="65" spans="1:12" ht="32.25" customHeight="1" x14ac:dyDescent="0.2">
      <c r="A65" s="28" t="s">
        <v>2077</v>
      </c>
      <c r="B65" s="28" t="s">
        <v>464</v>
      </c>
      <c r="C65" s="28" t="s">
        <v>782</v>
      </c>
      <c r="D65" s="28" t="s">
        <v>783</v>
      </c>
      <c r="E65" s="29"/>
      <c r="F65" s="29"/>
      <c r="G65" s="29"/>
      <c r="H65" s="28" t="s">
        <v>784</v>
      </c>
      <c r="I65" s="28" t="s">
        <v>71</v>
      </c>
      <c r="J65" s="28" t="s">
        <v>72</v>
      </c>
      <c r="K65" s="28"/>
      <c r="L65" s="28"/>
    </row>
    <row r="66" spans="1:12" ht="21.75" customHeight="1" x14ac:dyDescent="0.2">
      <c r="A66" s="28" t="s">
        <v>2077</v>
      </c>
      <c r="B66" s="28" t="s">
        <v>464</v>
      </c>
      <c r="C66" s="28" t="s">
        <v>800</v>
      </c>
      <c r="D66" s="28" t="s">
        <v>801</v>
      </c>
      <c r="E66" s="29"/>
      <c r="F66" s="29"/>
      <c r="G66" s="29"/>
      <c r="H66" s="28" t="s">
        <v>802</v>
      </c>
      <c r="I66" s="28" t="s">
        <v>71</v>
      </c>
      <c r="J66" s="28" t="s">
        <v>72</v>
      </c>
      <c r="K66" s="28"/>
      <c r="L66" s="28"/>
    </row>
    <row r="67" spans="1:12" ht="32.25" customHeight="1" x14ac:dyDescent="0.2">
      <c r="A67" s="28" t="s">
        <v>2077</v>
      </c>
      <c r="B67" s="28" t="s">
        <v>467</v>
      </c>
      <c r="C67" s="28" t="s">
        <v>830</v>
      </c>
      <c r="D67" s="28" t="s">
        <v>831</v>
      </c>
      <c r="E67" s="29"/>
      <c r="F67" s="29"/>
      <c r="G67" s="29"/>
      <c r="H67" s="28" t="s">
        <v>832</v>
      </c>
      <c r="I67" s="28" t="s">
        <v>71</v>
      </c>
      <c r="J67" s="28" t="s">
        <v>72</v>
      </c>
      <c r="K67" s="28"/>
      <c r="L67" s="28"/>
    </row>
    <row r="68" spans="1:12" ht="32.25" customHeight="1" x14ac:dyDescent="0.2">
      <c r="A68" s="28" t="s">
        <v>2077</v>
      </c>
      <c r="B68" s="28" t="s">
        <v>467</v>
      </c>
      <c r="C68" s="28" t="s">
        <v>834</v>
      </c>
      <c r="D68" s="28" t="s">
        <v>835</v>
      </c>
      <c r="E68" s="29"/>
      <c r="F68" s="29"/>
      <c r="G68" s="29"/>
      <c r="H68" s="28" t="s">
        <v>836</v>
      </c>
      <c r="I68" s="28" t="s">
        <v>71</v>
      </c>
      <c r="J68" s="28" t="s">
        <v>72</v>
      </c>
      <c r="K68" s="28"/>
      <c r="L68" s="28"/>
    </row>
    <row r="69" spans="1:12" ht="21.75" customHeight="1" x14ac:dyDescent="0.2">
      <c r="A69" s="28" t="s">
        <v>2077</v>
      </c>
      <c r="B69" s="28" t="s">
        <v>470</v>
      </c>
      <c r="C69" s="28" t="s">
        <v>926</v>
      </c>
      <c r="D69" s="28" t="s">
        <v>927</v>
      </c>
      <c r="E69" s="29"/>
      <c r="F69" s="29"/>
      <c r="G69" s="29"/>
      <c r="H69" s="28" t="s">
        <v>928</v>
      </c>
      <c r="I69" s="28" t="s">
        <v>71</v>
      </c>
      <c r="J69" s="28" t="s">
        <v>72</v>
      </c>
      <c r="K69" s="28"/>
      <c r="L69" s="28"/>
    </row>
    <row r="70" spans="1:12" ht="21.75" customHeight="1" x14ac:dyDescent="0.2">
      <c r="A70" s="28" t="s">
        <v>2077</v>
      </c>
      <c r="B70" s="28" t="s">
        <v>470</v>
      </c>
      <c r="C70" s="28" t="s">
        <v>955</v>
      </c>
      <c r="D70" s="28" t="s">
        <v>956</v>
      </c>
      <c r="E70" s="29"/>
      <c r="F70" s="29"/>
      <c r="G70" s="29"/>
      <c r="H70" s="28" t="s">
        <v>957</v>
      </c>
      <c r="I70" s="28" t="s">
        <v>71</v>
      </c>
      <c r="J70" s="28" t="s">
        <v>72</v>
      </c>
      <c r="K70" s="28"/>
      <c r="L70" s="28"/>
    </row>
    <row r="71" spans="1:12" ht="21.75" customHeight="1" x14ac:dyDescent="0.2">
      <c r="A71" s="28" t="s">
        <v>2077</v>
      </c>
      <c r="B71" s="28" t="s">
        <v>2051</v>
      </c>
      <c r="C71" s="28" t="s">
        <v>182</v>
      </c>
      <c r="D71" s="28" t="s">
        <v>1004</v>
      </c>
      <c r="E71" s="29"/>
      <c r="F71" s="29"/>
      <c r="G71" s="29"/>
      <c r="H71" s="28" t="s">
        <v>1005</v>
      </c>
      <c r="I71" s="28" t="s">
        <v>71</v>
      </c>
      <c r="J71" s="28" t="s">
        <v>72</v>
      </c>
      <c r="K71" s="28"/>
      <c r="L71" s="28"/>
    </row>
    <row r="72" spans="1:12" ht="32.25" customHeight="1" x14ac:dyDescent="0.2">
      <c r="A72" s="28" t="s">
        <v>2077</v>
      </c>
      <c r="B72" s="28" t="s">
        <v>2051</v>
      </c>
      <c r="C72" s="28" t="s">
        <v>197</v>
      </c>
      <c r="D72" s="28" t="s">
        <v>198</v>
      </c>
      <c r="E72" s="29"/>
      <c r="F72" s="29"/>
      <c r="G72" s="29"/>
      <c r="H72" s="28" t="s">
        <v>1015</v>
      </c>
      <c r="I72" s="28" t="s">
        <v>71</v>
      </c>
      <c r="J72" s="28" t="s">
        <v>72</v>
      </c>
      <c r="K72" s="28"/>
      <c r="L72" s="28"/>
    </row>
    <row r="73" spans="1:12" ht="21.75" customHeight="1" x14ac:dyDescent="0.2">
      <c r="A73" s="28" t="s">
        <v>2077</v>
      </c>
      <c r="B73" s="28" t="s">
        <v>2051</v>
      </c>
      <c r="C73" s="28" t="s">
        <v>208</v>
      </c>
      <c r="D73" s="28" t="s">
        <v>1020</v>
      </c>
      <c r="E73" s="29"/>
      <c r="F73" s="29"/>
      <c r="G73" s="29"/>
      <c r="H73" s="28" t="s">
        <v>1021</v>
      </c>
      <c r="I73" s="28" t="s">
        <v>71</v>
      </c>
      <c r="J73" s="28" t="s">
        <v>72</v>
      </c>
      <c r="K73" s="28"/>
      <c r="L73" s="28"/>
    </row>
    <row r="74" spans="1:12" ht="21.75" customHeight="1" x14ac:dyDescent="0.2">
      <c r="A74" s="28" t="s">
        <v>2077</v>
      </c>
      <c r="B74" s="28" t="s">
        <v>2051</v>
      </c>
      <c r="C74" s="28" t="s">
        <v>225</v>
      </c>
      <c r="D74" s="28" t="s">
        <v>1034</v>
      </c>
      <c r="E74" s="29"/>
      <c r="F74" s="29"/>
      <c r="G74" s="29"/>
      <c r="H74" s="28" t="s">
        <v>1035</v>
      </c>
      <c r="I74" s="28" t="s">
        <v>71</v>
      </c>
      <c r="J74" s="28" t="s">
        <v>72</v>
      </c>
      <c r="K74" s="28"/>
      <c r="L74" s="28"/>
    </row>
    <row r="75" spans="1:12" ht="15" customHeight="1" x14ac:dyDescent="0.2">
      <c r="A75" s="28" t="s">
        <v>2077</v>
      </c>
      <c r="B75" s="28" t="s">
        <v>2051</v>
      </c>
      <c r="C75" s="28" t="s">
        <v>230</v>
      </c>
      <c r="D75" s="28" t="s">
        <v>231</v>
      </c>
      <c r="E75" s="29"/>
      <c r="F75" s="29"/>
      <c r="G75" s="29"/>
      <c r="H75" s="28" t="s">
        <v>1037</v>
      </c>
      <c r="I75" s="28" t="s">
        <v>71</v>
      </c>
      <c r="J75" s="28" t="s">
        <v>72</v>
      </c>
      <c r="K75" s="28"/>
      <c r="L75" s="28"/>
    </row>
    <row r="76" spans="1:12" ht="21.75" customHeight="1" x14ac:dyDescent="0.2">
      <c r="A76" s="28" t="s">
        <v>2077</v>
      </c>
      <c r="B76" s="28" t="s">
        <v>2051</v>
      </c>
      <c r="C76" s="28" t="s">
        <v>235</v>
      </c>
      <c r="D76" s="28" t="s">
        <v>236</v>
      </c>
      <c r="E76" s="29"/>
      <c r="F76" s="29"/>
      <c r="G76" s="29"/>
      <c r="H76" s="28" t="s">
        <v>1041</v>
      </c>
      <c r="I76" s="28" t="s">
        <v>71</v>
      </c>
      <c r="J76" s="28" t="s">
        <v>72</v>
      </c>
      <c r="K76" s="28"/>
      <c r="L76" s="28"/>
    </row>
    <row r="77" spans="1:12" ht="21.75" customHeight="1" x14ac:dyDescent="0.2">
      <c r="A77" s="28" t="s">
        <v>2077</v>
      </c>
      <c r="B77" s="28" t="s">
        <v>2051</v>
      </c>
      <c r="C77" s="28" t="s">
        <v>251</v>
      </c>
      <c r="D77" s="28" t="s">
        <v>252</v>
      </c>
      <c r="E77" s="29"/>
      <c r="F77" s="29"/>
      <c r="G77" s="29"/>
      <c r="H77" s="28" t="s">
        <v>1047</v>
      </c>
      <c r="I77" s="28" t="s">
        <v>71</v>
      </c>
      <c r="J77" s="28" t="s">
        <v>72</v>
      </c>
      <c r="K77" s="28"/>
      <c r="L77" s="28"/>
    </row>
    <row r="78" spans="1:12" ht="15" customHeight="1" x14ac:dyDescent="0.2">
      <c r="A78" s="28" t="s">
        <v>2077</v>
      </c>
      <c r="B78" s="28" t="s">
        <v>2051</v>
      </c>
      <c r="C78" s="28" t="s">
        <v>261</v>
      </c>
      <c r="D78" s="28" t="s">
        <v>1049</v>
      </c>
      <c r="E78" s="29"/>
      <c r="F78" s="29"/>
      <c r="G78" s="29"/>
      <c r="H78" s="28" t="s">
        <v>1050</v>
      </c>
      <c r="I78" s="28" t="s">
        <v>71</v>
      </c>
      <c r="J78" s="28" t="s">
        <v>72</v>
      </c>
      <c r="K78" s="28"/>
      <c r="L78" s="28"/>
    </row>
    <row r="79" spans="1:12" ht="21.75" customHeight="1" x14ac:dyDescent="0.2">
      <c r="A79" s="28" t="s">
        <v>2077</v>
      </c>
      <c r="B79" s="28" t="s">
        <v>2051</v>
      </c>
      <c r="C79" s="28" t="s">
        <v>197</v>
      </c>
      <c r="D79" s="28" t="s">
        <v>1079</v>
      </c>
      <c r="E79" s="29"/>
      <c r="F79" s="29"/>
      <c r="G79" s="29"/>
      <c r="H79" s="28" t="s">
        <v>1080</v>
      </c>
      <c r="I79" s="28" t="s">
        <v>71</v>
      </c>
      <c r="J79" s="28" t="s">
        <v>72</v>
      </c>
      <c r="K79" s="28"/>
      <c r="L79" s="28"/>
    </row>
    <row r="80" spans="1:12" ht="15" customHeight="1" x14ac:dyDescent="0.2">
      <c r="A80" s="28" t="s">
        <v>2077</v>
      </c>
      <c r="B80" s="28" t="s">
        <v>2051</v>
      </c>
      <c r="C80" s="28" t="s">
        <v>930</v>
      </c>
      <c r="D80" s="28" t="s">
        <v>1092</v>
      </c>
      <c r="E80" s="29"/>
      <c r="F80" s="29"/>
      <c r="G80" s="29"/>
      <c r="H80" s="28" t="s">
        <v>1093</v>
      </c>
      <c r="I80" s="28" t="s">
        <v>71</v>
      </c>
      <c r="J80" s="28" t="s">
        <v>72</v>
      </c>
      <c r="K80" s="28"/>
      <c r="L80" s="28"/>
    </row>
    <row r="81" spans="1:12" ht="15" customHeight="1" x14ac:dyDescent="0.2">
      <c r="A81" s="28" t="s">
        <v>2077</v>
      </c>
      <c r="B81" s="28" t="s">
        <v>2051</v>
      </c>
      <c r="C81" s="28" t="s">
        <v>934</v>
      </c>
      <c r="D81" s="28" t="s">
        <v>1095</v>
      </c>
      <c r="E81" s="29"/>
      <c r="F81" s="29"/>
      <c r="G81" s="29"/>
      <c r="H81" s="28" t="s">
        <v>1096</v>
      </c>
      <c r="I81" s="28" t="s">
        <v>71</v>
      </c>
      <c r="J81" s="28" t="s">
        <v>72</v>
      </c>
      <c r="K81" s="28"/>
      <c r="L81" s="28"/>
    </row>
    <row r="82" spans="1:12" ht="15" customHeight="1" x14ac:dyDescent="0.2">
      <c r="A82" s="28" t="s">
        <v>2077</v>
      </c>
      <c r="B82" s="28" t="s">
        <v>2051</v>
      </c>
      <c r="C82" s="28" t="s">
        <v>938</v>
      </c>
      <c r="D82" s="28" t="s">
        <v>1098</v>
      </c>
      <c r="E82" s="29" t="s">
        <v>67</v>
      </c>
      <c r="F82" s="29" t="s">
        <v>67</v>
      </c>
      <c r="G82" s="29" t="s">
        <v>67</v>
      </c>
      <c r="H82" s="28" t="s">
        <v>1099</v>
      </c>
      <c r="I82" s="28" t="s">
        <v>71</v>
      </c>
      <c r="J82" s="28" t="s">
        <v>72</v>
      </c>
      <c r="K82" s="28"/>
      <c r="L82" s="28"/>
    </row>
    <row r="83" spans="1:12" ht="15" customHeight="1" x14ac:dyDescent="0.2">
      <c r="A83" s="28" t="s">
        <v>2077</v>
      </c>
      <c r="B83" s="28" t="s">
        <v>2051</v>
      </c>
      <c r="C83" s="28" t="s">
        <v>943</v>
      </c>
      <c r="D83" s="28" t="s">
        <v>1102</v>
      </c>
      <c r="E83" s="29"/>
      <c r="F83" s="29"/>
      <c r="G83" s="29"/>
      <c r="H83" s="28" t="s">
        <v>1103</v>
      </c>
      <c r="I83" s="28" t="s">
        <v>71</v>
      </c>
      <c r="J83" s="28" t="s">
        <v>72</v>
      </c>
      <c r="K83" s="28"/>
      <c r="L83" s="28"/>
    </row>
    <row r="84" spans="1:12" ht="21.75" customHeight="1" x14ac:dyDescent="0.2">
      <c r="A84" s="28" t="s">
        <v>2077</v>
      </c>
      <c r="B84" s="28" t="s">
        <v>476</v>
      </c>
      <c r="C84" s="28" t="s">
        <v>203</v>
      </c>
      <c r="D84" s="28" t="s">
        <v>1567</v>
      </c>
      <c r="E84" s="29"/>
      <c r="F84" s="29"/>
      <c r="G84" s="29"/>
      <c r="H84" s="28" t="s">
        <v>1568</v>
      </c>
      <c r="I84" s="28" t="s">
        <v>71</v>
      </c>
      <c r="J84" s="28" t="s">
        <v>72</v>
      </c>
      <c r="K84" s="28"/>
      <c r="L84" s="28"/>
    </row>
    <row r="85" spans="1:12" ht="21.75" customHeight="1" x14ac:dyDescent="0.2">
      <c r="A85" s="28" t="s">
        <v>2077</v>
      </c>
      <c r="B85" s="28" t="s">
        <v>476</v>
      </c>
      <c r="C85" s="28" t="s">
        <v>961</v>
      </c>
      <c r="D85" s="28" t="s">
        <v>1578</v>
      </c>
      <c r="E85" s="29"/>
      <c r="F85" s="29"/>
      <c r="G85" s="29"/>
      <c r="H85" s="28" t="s">
        <v>1579</v>
      </c>
      <c r="I85" s="28" t="s">
        <v>71</v>
      </c>
      <c r="J85" s="28" t="s">
        <v>72</v>
      </c>
      <c r="K85" s="28"/>
      <c r="L85" s="28"/>
    </row>
    <row r="86" spans="1:12" ht="32.25" customHeight="1" x14ac:dyDescent="0.2">
      <c r="A86" s="28" t="s">
        <v>2077</v>
      </c>
      <c r="B86" s="28" t="s">
        <v>476</v>
      </c>
      <c r="C86" s="28" t="s">
        <v>271</v>
      </c>
      <c r="D86" s="28" t="s">
        <v>1543</v>
      </c>
      <c r="E86" s="29" t="s">
        <v>67</v>
      </c>
      <c r="F86" s="29"/>
      <c r="G86" s="29"/>
      <c r="H86" s="28" t="s">
        <v>1629</v>
      </c>
      <c r="I86" s="28" t="s">
        <v>71</v>
      </c>
      <c r="J86" s="28" t="s">
        <v>72</v>
      </c>
      <c r="K86" s="28"/>
      <c r="L86" s="28"/>
    </row>
    <row r="87" spans="1:12" ht="21.75" customHeight="1" x14ac:dyDescent="0.2">
      <c r="A87" s="28" t="s">
        <v>2077</v>
      </c>
      <c r="B87" s="28" t="s">
        <v>476</v>
      </c>
      <c r="C87" s="28" t="s">
        <v>1688</v>
      </c>
      <c r="D87" s="28" t="s">
        <v>1689</v>
      </c>
      <c r="E87" s="29" t="s">
        <v>67</v>
      </c>
      <c r="F87" s="29" t="s">
        <v>67</v>
      </c>
      <c r="G87" s="29" t="s">
        <v>67</v>
      </c>
      <c r="H87" s="28" t="s">
        <v>1690</v>
      </c>
      <c r="I87" s="28" t="s">
        <v>71</v>
      </c>
      <c r="J87" s="28" t="s">
        <v>72</v>
      </c>
      <c r="K87" s="28"/>
      <c r="L87" s="28"/>
    </row>
    <row r="88" spans="1:12" ht="21.75" customHeight="1" x14ac:dyDescent="0.2">
      <c r="A88" s="28" t="s">
        <v>2077</v>
      </c>
      <c r="B88" s="28" t="s">
        <v>479</v>
      </c>
      <c r="C88" s="28" t="s">
        <v>1878</v>
      </c>
      <c r="D88" s="28" t="s">
        <v>1879</v>
      </c>
      <c r="E88" s="29"/>
      <c r="F88" s="29"/>
      <c r="G88" s="29"/>
      <c r="H88" s="28" t="s">
        <v>1880</v>
      </c>
      <c r="I88" s="28" t="s">
        <v>71</v>
      </c>
      <c r="J88" s="28" t="s">
        <v>72</v>
      </c>
      <c r="K88" s="28"/>
      <c r="L88" s="28"/>
    </row>
    <row r="89" spans="1:12" ht="32.25" customHeight="1" x14ac:dyDescent="0.2">
      <c r="A89" s="28" t="s">
        <v>2077</v>
      </c>
      <c r="B89" s="28" t="s">
        <v>484</v>
      </c>
      <c r="C89" s="28" t="s">
        <v>203</v>
      </c>
      <c r="D89" s="28" t="s">
        <v>1966</v>
      </c>
      <c r="E89" s="29"/>
      <c r="F89" s="29"/>
      <c r="G89" s="29"/>
      <c r="H89" s="28" t="s">
        <v>1967</v>
      </c>
      <c r="I89" s="28" t="s">
        <v>71</v>
      </c>
      <c r="J89" s="28" t="s">
        <v>72</v>
      </c>
      <c r="K89" s="28"/>
      <c r="L89" s="28"/>
    </row>
    <row r="90" spans="1:12" ht="21.75" customHeight="1" x14ac:dyDescent="0.2">
      <c r="A90" s="28" t="s">
        <v>2077</v>
      </c>
      <c r="B90" s="28" t="s">
        <v>484</v>
      </c>
      <c r="C90" s="28" t="s">
        <v>208</v>
      </c>
      <c r="D90" s="28" t="s">
        <v>1970</v>
      </c>
      <c r="E90" s="29"/>
      <c r="F90" s="29"/>
      <c r="G90" s="29"/>
      <c r="H90" s="28" t="s">
        <v>1971</v>
      </c>
      <c r="I90" s="28" t="s">
        <v>71</v>
      </c>
      <c r="J90" s="28" t="s">
        <v>72</v>
      </c>
      <c r="K90" s="28"/>
      <c r="L90" s="28"/>
    </row>
    <row r="91" spans="1:12" ht="21.75" customHeight="1" x14ac:dyDescent="0.2">
      <c r="A91" s="28" t="s">
        <v>2077</v>
      </c>
      <c r="B91" s="28" t="s">
        <v>2052</v>
      </c>
      <c r="C91" s="28" t="s">
        <v>753</v>
      </c>
      <c r="D91" s="28" t="s">
        <v>2078</v>
      </c>
      <c r="E91" s="29"/>
      <c r="F91" s="29"/>
      <c r="G91" s="29"/>
      <c r="H91" s="28" t="s">
        <v>2079</v>
      </c>
      <c r="I91" s="28" t="s">
        <v>71</v>
      </c>
      <c r="J91" s="28" t="s">
        <v>72</v>
      </c>
      <c r="K91" s="28"/>
      <c r="L91" s="28"/>
    </row>
    <row r="92" spans="1:12" ht="32.25" customHeight="1" x14ac:dyDescent="0.2">
      <c r="A92" s="28" t="s">
        <v>2077</v>
      </c>
      <c r="B92" s="28" t="s">
        <v>2052</v>
      </c>
      <c r="C92" s="28" t="s">
        <v>225</v>
      </c>
      <c r="D92" s="28" t="s">
        <v>2080</v>
      </c>
      <c r="E92" s="29"/>
      <c r="F92" s="29"/>
      <c r="G92" s="29"/>
      <c r="H92" s="28" t="s">
        <v>2081</v>
      </c>
      <c r="I92" s="28" t="s">
        <v>71</v>
      </c>
      <c r="J92" s="28" t="s">
        <v>72</v>
      </c>
      <c r="K92" s="28"/>
      <c r="L92" s="28"/>
    </row>
    <row r="93" spans="1:12" ht="32.25" customHeight="1" x14ac:dyDescent="0.2">
      <c r="A93" s="28" t="s">
        <v>2077</v>
      </c>
      <c r="B93" s="28" t="s">
        <v>496</v>
      </c>
      <c r="C93" s="28" t="s">
        <v>2082</v>
      </c>
      <c r="D93" s="28" t="s">
        <v>2083</v>
      </c>
      <c r="E93" s="29" t="s">
        <v>67</v>
      </c>
      <c r="F93" s="29"/>
      <c r="G93" s="29"/>
      <c r="H93" s="28" t="s">
        <v>2084</v>
      </c>
      <c r="I93" s="28" t="s">
        <v>71</v>
      </c>
      <c r="J93" s="28" t="s">
        <v>72</v>
      </c>
      <c r="K93" s="28"/>
      <c r="L93" s="28"/>
    </row>
    <row r="94" spans="1:12" ht="15" customHeight="1" x14ac:dyDescent="0.2">
      <c r="A94" s="6" t="s">
        <v>2085</v>
      </c>
      <c r="B94" s="6"/>
      <c r="C94" s="6"/>
      <c r="D94" s="6"/>
      <c r="E94" s="6"/>
      <c r="F94" s="6"/>
      <c r="G94" s="6"/>
      <c r="H94" s="6"/>
      <c r="I94" s="6"/>
      <c r="J94" s="6"/>
      <c r="K94" s="6"/>
      <c r="L94" s="6"/>
    </row>
    <row r="95" spans="1:12" ht="21.75" customHeight="1" x14ac:dyDescent="0.2">
      <c r="A95" s="28" t="s">
        <v>2086</v>
      </c>
      <c r="B95" s="28" t="s">
        <v>2050</v>
      </c>
      <c r="C95" s="28" t="s">
        <v>118</v>
      </c>
      <c r="D95" s="28" t="s">
        <v>119</v>
      </c>
      <c r="E95" s="29" t="s">
        <v>67</v>
      </c>
      <c r="F95" s="29" t="s">
        <v>67</v>
      </c>
      <c r="G95" s="29" t="s">
        <v>67</v>
      </c>
      <c r="H95" s="28" t="s">
        <v>120</v>
      </c>
      <c r="I95" s="28" t="s">
        <v>71</v>
      </c>
      <c r="J95" s="28" t="s">
        <v>72</v>
      </c>
      <c r="K95" s="28"/>
      <c r="L95" s="28"/>
    </row>
    <row r="96" spans="1:12" ht="32.25" customHeight="1" x14ac:dyDescent="0.2">
      <c r="A96" s="28" t="s">
        <v>2086</v>
      </c>
      <c r="B96" s="28" t="s">
        <v>2050</v>
      </c>
      <c r="C96" s="28" t="s">
        <v>347</v>
      </c>
      <c r="D96" s="28" t="s">
        <v>348</v>
      </c>
      <c r="E96" s="29"/>
      <c r="F96" s="29"/>
      <c r="G96" s="29"/>
      <c r="H96" s="28" t="s">
        <v>349</v>
      </c>
      <c r="I96" s="28" t="s">
        <v>71</v>
      </c>
      <c r="J96" s="28" t="s">
        <v>72</v>
      </c>
      <c r="K96" s="28"/>
      <c r="L96" s="28"/>
    </row>
    <row r="97" spans="1:12" ht="21.75" customHeight="1" x14ac:dyDescent="0.2">
      <c r="A97" s="28" t="s">
        <v>2086</v>
      </c>
      <c r="B97" s="28" t="s">
        <v>2050</v>
      </c>
      <c r="C97" s="28" t="s">
        <v>370</v>
      </c>
      <c r="D97" s="28" t="s">
        <v>371</v>
      </c>
      <c r="E97" s="29"/>
      <c r="F97" s="29"/>
      <c r="G97" s="29"/>
      <c r="H97" s="28" t="s">
        <v>372</v>
      </c>
      <c r="I97" s="28" t="s">
        <v>71</v>
      </c>
      <c r="J97" s="28" t="s">
        <v>72</v>
      </c>
      <c r="K97" s="28"/>
      <c r="L97" s="28"/>
    </row>
    <row r="98" spans="1:12" ht="32.25" customHeight="1" x14ac:dyDescent="0.2">
      <c r="A98" s="28" t="s">
        <v>2086</v>
      </c>
      <c r="B98" s="28" t="s">
        <v>461</v>
      </c>
      <c r="C98" s="28" t="s">
        <v>702</v>
      </c>
      <c r="D98" s="28" t="s">
        <v>703</v>
      </c>
      <c r="E98" s="29" t="s">
        <v>67</v>
      </c>
      <c r="F98" s="29" t="s">
        <v>67</v>
      </c>
      <c r="G98" s="29" t="s">
        <v>67</v>
      </c>
      <c r="H98" s="28" t="s">
        <v>705</v>
      </c>
      <c r="I98" s="28" t="s">
        <v>71</v>
      </c>
      <c r="J98" s="28" t="s">
        <v>72</v>
      </c>
      <c r="K98" s="28"/>
      <c r="L98" s="28"/>
    </row>
    <row r="99" spans="1:12" ht="32.25" customHeight="1" x14ac:dyDescent="0.2">
      <c r="A99" s="28" t="s">
        <v>2086</v>
      </c>
      <c r="B99" s="28" t="s">
        <v>467</v>
      </c>
      <c r="C99" s="28" t="s">
        <v>868</v>
      </c>
      <c r="D99" s="28" t="s">
        <v>869</v>
      </c>
      <c r="E99" s="29"/>
      <c r="F99" s="29"/>
      <c r="G99" s="29"/>
      <c r="H99" s="28" t="s">
        <v>870</v>
      </c>
      <c r="I99" s="28" t="s">
        <v>71</v>
      </c>
      <c r="J99" s="28" t="s">
        <v>72</v>
      </c>
      <c r="K99" s="28"/>
      <c r="L99" s="28"/>
    </row>
    <row r="100" spans="1:12" ht="53.25" customHeight="1" x14ac:dyDescent="0.2">
      <c r="A100" s="28" t="s">
        <v>2086</v>
      </c>
      <c r="B100" s="28" t="s">
        <v>467</v>
      </c>
      <c r="C100" s="28" t="s">
        <v>872</v>
      </c>
      <c r="D100" s="28" t="s">
        <v>873</v>
      </c>
      <c r="E100" s="29" t="s">
        <v>67</v>
      </c>
      <c r="F100" s="29" t="s">
        <v>67</v>
      </c>
      <c r="G100" s="29" t="s">
        <v>67</v>
      </c>
      <c r="H100" s="28" t="s">
        <v>874</v>
      </c>
      <c r="I100" s="28" t="s">
        <v>71</v>
      </c>
      <c r="J100" s="28" t="s">
        <v>72</v>
      </c>
      <c r="K100" s="28"/>
      <c r="L100" s="28"/>
    </row>
    <row r="101" spans="1:12" ht="21.75" customHeight="1" x14ac:dyDescent="0.2">
      <c r="A101" s="28" t="s">
        <v>2086</v>
      </c>
      <c r="B101" s="28" t="s">
        <v>467</v>
      </c>
      <c r="C101" s="28" t="s">
        <v>882</v>
      </c>
      <c r="D101" s="28" t="s">
        <v>883</v>
      </c>
      <c r="E101" s="29"/>
      <c r="F101" s="29"/>
      <c r="G101" s="29"/>
      <c r="H101" s="28" t="s">
        <v>884</v>
      </c>
      <c r="I101" s="28" t="s">
        <v>71</v>
      </c>
      <c r="J101" s="28" t="s">
        <v>72</v>
      </c>
      <c r="K101" s="28"/>
      <c r="L101" s="28"/>
    </row>
    <row r="102" spans="1:12" ht="21.75" customHeight="1" x14ac:dyDescent="0.2">
      <c r="A102" s="28" t="s">
        <v>2086</v>
      </c>
      <c r="B102" s="28" t="s">
        <v>2051</v>
      </c>
      <c r="C102" s="28" t="s">
        <v>1167</v>
      </c>
      <c r="D102" s="28" t="s">
        <v>1168</v>
      </c>
      <c r="E102" s="29" t="s">
        <v>67</v>
      </c>
      <c r="F102" s="29" t="s">
        <v>67</v>
      </c>
      <c r="G102" s="29" t="s">
        <v>67</v>
      </c>
      <c r="H102" s="28" t="s">
        <v>1169</v>
      </c>
      <c r="I102" s="28" t="s">
        <v>71</v>
      </c>
      <c r="J102" s="28" t="s">
        <v>72</v>
      </c>
      <c r="K102" s="28"/>
      <c r="L102" s="28"/>
    </row>
    <row r="103" spans="1:12" ht="15" customHeight="1" x14ac:dyDescent="0.2">
      <c r="A103" s="28" t="s">
        <v>2086</v>
      </c>
      <c r="B103" s="28" t="s">
        <v>2051</v>
      </c>
      <c r="C103" s="28" t="s">
        <v>271</v>
      </c>
      <c r="D103" s="28" t="s">
        <v>1358</v>
      </c>
      <c r="E103" s="29" t="s">
        <v>67</v>
      </c>
      <c r="F103" s="29" t="s">
        <v>67</v>
      </c>
      <c r="G103" s="29"/>
      <c r="H103" s="28" t="s">
        <v>1359</v>
      </c>
      <c r="I103" s="28" t="s">
        <v>71</v>
      </c>
      <c r="J103" s="28" t="s">
        <v>72</v>
      </c>
      <c r="K103" s="28"/>
      <c r="L103" s="28"/>
    </row>
    <row r="104" spans="1:12" ht="15" customHeight="1" x14ac:dyDescent="0.2">
      <c r="A104" s="28" t="s">
        <v>2086</v>
      </c>
      <c r="B104" s="28" t="s">
        <v>2051</v>
      </c>
      <c r="C104" s="28" t="s">
        <v>1377</v>
      </c>
      <c r="D104" s="28" t="s">
        <v>1378</v>
      </c>
      <c r="E104" s="29" t="s">
        <v>67</v>
      </c>
      <c r="F104" s="29" t="s">
        <v>67</v>
      </c>
      <c r="G104" s="29" t="s">
        <v>67</v>
      </c>
      <c r="H104" s="28" t="s">
        <v>1379</v>
      </c>
      <c r="I104" s="28" t="s">
        <v>71</v>
      </c>
      <c r="J104" s="28" t="s">
        <v>72</v>
      </c>
      <c r="K104" s="28"/>
      <c r="L104" s="28"/>
    </row>
    <row r="105" spans="1:12" ht="15" customHeight="1" x14ac:dyDescent="0.2">
      <c r="A105" s="28" t="s">
        <v>2086</v>
      </c>
      <c r="B105" s="28" t="s">
        <v>2051</v>
      </c>
      <c r="C105" s="28" t="s">
        <v>1427</v>
      </c>
      <c r="D105" s="28" t="s">
        <v>1428</v>
      </c>
      <c r="E105" s="29" t="s">
        <v>67</v>
      </c>
      <c r="F105" s="29" t="s">
        <v>67</v>
      </c>
      <c r="G105" s="29" t="s">
        <v>67</v>
      </c>
      <c r="H105" s="28" t="s">
        <v>1429</v>
      </c>
      <c r="I105" s="28" t="s">
        <v>71</v>
      </c>
      <c r="J105" s="28" t="s">
        <v>72</v>
      </c>
      <c r="K105" s="28"/>
      <c r="L105" s="28"/>
    </row>
    <row r="106" spans="1:12" ht="21.75" customHeight="1" x14ac:dyDescent="0.2">
      <c r="A106" s="28" t="s">
        <v>2086</v>
      </c>
      <c r="B106" s="28" t="s">
        <v>2051</v>
      </c>
      <c r="C106" s="28" t="s">
        <v>1432</v>
      </c>
      <c r="D106" s="28" t="s">
        <v>1433</v>
      </c>
      <c r="E106" s="29"/>
      <c r="F106" s="29" t="s">
        <v>67</v>
      </c>
      <c r="G106" s="29"/>
      <c r="H106" s="28" t="s">
        <v>1434</v>
      </c>
      <c r="I106" s="28" t="s">
        <v>71</v>
      </c>
      <c r="J106" s="28" t="s">
        <v>72</v>
      </c>
      <c r="K106" s="28"/>
      <c r="L106" s="28"/>
    </row>
    <row r="107" spans="1:12" ht="15" customHeight="1" x14ac:dyDescent="0.2">
      <c r="A107" s="28" t="s">
        <v>2086</v>
      </c>
      <c r="B107" s="28" t="s">
        <v>2051</v>
      </c>
      <c r="C107" s="28" t="s">
        <v>1462</v>
      </c>
      <c r="D107" s="28" t="s">
        <v>1463</v>
      </c>
      <c r="E107" s="29" t="s">
        <v>67</v>
      </c>
      <c r="F107" s="29" t="s">
        <v>67</v>
      </c>
      <c r="G107" s="29" t="s">
        <v>67</v>
      </c>
      <c r="H107" s="28" t="s">
        <v>1464</v>
      </c>
      <c r="I107" s="28" t="s">
        <v>71</v>
      </c>
      <c r="J107" s="28" t="s">
        <v>72</v>
      </c>
      <c r="K107" s="28"/>
      <c r="L107" s="28"/>
    </row>
    <row r="108" spans="1:12" ht="15" customHeight="1" x14ac:dyDescent="0.2">
      <c r="A108" s="28" t="s">
        <v>2086</v>
      </c>
      <c r="B108" s="28" t="s">
        <v>2051</v>
      </c>
      <c r="C108" s="28" t="s">
        <v>1467</v>
      </c>
      <c r="D108" s="28" t="s">
        <v>1468</v>
      </c>
      <c r="E108" s="29" t="s">
        <v>67</v>
      </c>
      <c r="F108" s="29" t="s">
        <v>67</v>
      </c>
      <c r="G108" s="29" t="s">
        <v>67</v>
      </c>
      <c r="H108" s="28" t="s">
        <v>1469</v>
      </c>
      <c r="I108" s="28" t="s">
        <v>71</v>
      </c>
      <c r="J108" s="28" t="s">
        <v>72</v>
      </c>
      <c r="K108" s="28"/>
      <c r="L108" s="28"/>
    </row>
    <row r="109" spans="1:12" ht="21.75" customHeight="1" x14ac:dyDescent="0.2">
      <c r="A109" s="28" t="s">
        <v>2086</v>
      </c>
      <c r="B109" s="28" t="s">
        <v>2051</v>
      </c>
      <c r="C109" s="28" t="s">
        <v>1472</v>
      </c>
      <c r="D109" s="28" t="s">
        <v>1473</v>
      </c>
      <c r="E109" s="29" t="s">
        <v>67</v>
      </c>
      <c r="F109" s="29" t="s">
        <v>67</v>
      </c>
      <c r="G109" s="29" t="s">
        <v>67</v>
      </c>
      <c r="H109" s="28" t="s">
        <v>1474</v>
      </c>
      <c r="I109" s="28" t="s">
        <v>71</v>
      </c>
      <c r="J109" s="28" t="s">
        <v>72</v>
      </c>
      <c r="K109" s="28"/>
      <c r="L109" s="28"/>
    </row>
    <row r="110" spans="1:12" ht="15" customHeight="1" x14ac:dyDescent="0.2">
      <c r="A110" s="28" t="s">
        <v>2086</v>
      </c>
      <c r="B110" s="28" t="s">
        <v>2051</v>
      </c>
      <c r="C110" s="28" t="s">
        <v>1477</v>
      </c>
      <c r="D110" s="28" t="s">
        <v>1478</v>
      </c>
      <c r="E110" s="29"/>
      <c r="F110" s="29" t="s">
        <v>67</v>
      </c>
      <c r="G110" s="29"/>
      <c r="H110" s="28" t="s">
        <v>1479</v>
      </c>
      <c r="I110" s="28" t="s">
        <v>71</v>
      </c>
      <c r="J110" s="28" t="s">
        <v>72</v>
      </c>
      <c r="K110" s="28"/>
      <c r="L110" s="28"/>
    </row>
    <row r="111" spans="1:12" ht="15" customHeight="1" x14ac:dyDescent="0.2">
      <c r="A111" s="28" t="s">
        <v>2086</v>
      </c>
      <c r="B111" s="28" t="s">
        <v>2051</v>
      </c>
      <c r="C111" s="28" t="s">
        <v>1482</v>
      </c>
      <c r="D111" s="28" t="s">
        <v>1483</v>
      </c>
      <c r="E111" s="29" t="s">
        <v>67</v>
      </c>
      <c r="F111" s="29" t="s">
        <v>67</v>
      </c>
      <c r="G111" s="29" t="s">
        <v>67</v>
      </c>
      <c r="H111" s="28" t="s">
        <v>1484</v>
      </c>
      <c r="I111" s="28" t="s">
        <v>71</v>
      </c>
      <c r="J111" s="28" t="s">
        <v>72</v>
      </c>
      <c r="K111" s="28"/>
      <c r="L111" s="28"/>
    </row>
    <row r="112" spans="1:12" ht="21.75" customHeight="1" x14ac:dyDescent="0.2">
      <c r="A112" s="28" t="s">
        <v>2086</v>
      </c>
      <c r="B112" s="28" t="s">
        <v>2051</v>
      </c>
      <c r="C112" s="28" t="s">
        <v>1492</v>
      </c>
      <c r="D112" s="28" t="s">
        <v>1493</v>
      </c>
      <c r="E112" s="29"/>
      <c r="F112" s="29" t="s">
        <v>67</v>
      </c>
      <c r="G112" s="29"/>
      <c r="H112" s="28" t="s">
        <v>1494</v>
      </c>
      <c r="I112" s="28" t="s">
        <v>71</v>
      </c>
      <c r="J112" s="28" t="s">
        <v>72</v>
      </c>
      <c r="K112" s="28"/>
      <c r="L112" s="28"/>
    </row>
    <row r="113" spans="1:12" ht="21.75" customHeight="1" x14ac:dyDescent="0.2">
      <c r="A113" s="28" t="s">
        <v>2086</v>
      </c>
      <c r="B113" s="28" t="s">
        <v>2051</v>
      </c>
      <c r="C113" s="28" t="s">
        <v>1497</v>
      </c>
      <c r="D113" s="28" t="s">
        <v>1498</v>
      </c>
      <c r="E113" s="29"/>
      <c r="F113" s="29" t="s">
        <v>67</v>
      </c>
      <c r="G113" s="29"/>
      <c r="H113" s="28" t="s">
        <v>1499</v>
      </c>
      <c r="I113" s="28" t="s">
        <v>71</v>
      </c>
      <c r="J113" s="28" t="s">
        <v>72</v>
      </c>
      <c r="K113" s="28"/>
      <c r="L113" s="28"/>
    </row>
    <row r="114" spans="1:12" ht="15" customHeight="1" x14ac:dyDescent="0.2">
      <c r="A114" s="28" t="s">
        <v>2086</v>
      </c>
      <c r="B114" s="28" t="s">
        <v>2051</v>
      </c>
      <c r="C114" s="28" t="s">
        <v>1502</v>
      </c>
      <c r="D114" s="28" t="s">
        <v>1503</v>
      </c>
      <c r="E114" s="29" t="s">
        <v>67</v>
      </c>
      <c r="F114" s="29"/>
      <c r="G114" s="29"/>
      <c r="H114" s="28" t="s">
        <v>1504</v>
      </c>
      <c r="I114" s="28" t="s">
        <v>71</v>
      </c>
      <c r="J114" s="28" t="s">
        <v>72</v>
      </c>
      <c r="K114" s="28"/>
      <c r="L114" s="28"/>
    </row>
    <row r="115" spans="1:12" ht="32.25" customHeight="1" x14ac:dyDescent="0.2">
      <c r="A115" s="28" t="s">
        <v>2086</v>
      </c>
      <c r="B115" s="28" t="s">
        <v>496</v>
      </c>
      <c r="C115" s="28" t="s">
        <v>590</v>
      </c>
      <c r="D115" s="28" t="s">
        <v>2087</v>
      </c>
      <c r="E115" s="29" t="s">
        <v>67</v>
      </c>
      <c r="F115" s="29" t="s">
        <v>67</v>
      </c>
      <c r="G115" s="29" t="s">
        <v>67</v>
      </c>
      <c r="H115" s="28" t="s">
        <v>2088</v>
      </c>
      <c r="I115" s="28" t="s">
        <v>71</v>
      </c>
      <c r="J115" s="28" t="s">
        <v>72</v>
      </c>
      <c r="K115" s="28"/>
      <c r="L115" s="28"/>
    </row>
    <row r="116" spans="1:12" ht="32.25" customHeight="1" x14ac:dyDescent="0.2">
      <c r="A116" s="28" t="s">
        <v>2086</v>
      </c>
      <c r="B116" s="28" t="s">
        <v>496</v>
      </c>
      <c r="C116" s="28" t="s">
        <v>678</v>
      </c>
      <c r="D116" s="28" t="s">
        <v>2089</v>
      </c>
      <c r="E116" s="29" t="s">
        <v>67</v>
      </c>
      <c r="F116" s="29" t="s">
        <v>67</v>
      </c>
      <c r="G116" s="29" t="s">
        <v>67</v>
      </c>
      <c r="H116" s="28" t="s">
        <v>2090</v>
      </c>
      <c r="I116" s="28" t="s">
        <v>71</v>
      </c>
      <c r="J116" s="28" t="s">
        <v>72</v>
      </c>
      <c r="K116" s="28"/>
      <c r="L116" s="28"/>
    </row>
    <row r="117" spans="1:12" ht="32.25" customHeight="1" x14ac:dyDescent="0.2">
      <c r="A117" s="28" t="s">
        <v>2086</v>
      </c>
      <c r="B117" s="28" t="s">
        <v>499</v>
      </c>
      <c r="C117" s="28" t="s">
        <v>2091</v>
      </c>
      <c r="D117" s="28" t="s">
        <v>2092</v>
      </c>
      <c r="E117" s="29" t="s">
        <v>67</v>
      </c>
      <c r="F117" s="29" t="s">
        <v>67</v>
      </c>
      <c r="G117" s="29" t="s">
        <v>67</v>
      </c>
      <c r="H117" s="28" t="s">
        <v>2093</v>
      </c>
      <c r="I117" s="28" t="s">
        <v>71</v>
      </c>
      <c r="J117" s="28" t="s">
        <v>72</v>
      </c>
      <c r="K117" s="28"/>
      <c r="L117" s="28"/>
    </row>
    <row r="118" spans="1:12" ht="32.25" customHeight="1" x14ac:dyDescent="0.2">
      <c r="A118" s="28" t="s">
        <v>2086</v>
      </c>
      <c r="B118" s="28" t="s">
        <v>499</v>
      </c>
      <c r="C118" s="28" t="s">
        <v>2094</v>
      </c>
      <c r="D118" s="28" t="s">
        <v>2095</v>
      </c>
      <c r="E118" s="29" t="s">
        <v>67</v>
      </c>
      <c r="F118" s="29" t="s">
        <v>67</v>
      </c>
      <c r="G118" s="29" t="s">
        <v>67</v>
      </c>
      <c r="H118" s="28" t="s">
        <v>2096</v>
      </c>
      <c r="I118" s="28" t="s">
        <v>71</v>
      </c>
      <c r="J118" s="28" t="s">
        <v>72</v>
      </c>
      <c r="K118" s="28"/>
      <c r="L118" s="28"/>
    </row>
    <row r="119" spans="1:12" ht="32.25" customHeight="1" x14ac:dyDescent="0.2">
      <c r="A119" s="28" t="s">
        <v>2086</v>
      </c>
      <c r="B119" s="28" t="s">
        <v>499</v>
      </c>
      <c r="C119" s="28" t="s">
        <v>2097</v>
      </c>
      <c r="D119" s="28" t="s">
        <v>2098</v>
      </c>
      <c r="E119" s="29" t="s">
        <v>67</v>
      </c>
      <c r="F119" s="29" t="s">
        <v>67</v>
      </c>
      <c r="G119" s="29" t="s">
        <v>67</v>
      </c>
      <c r="H119" s="28" t="s">
        <v>2099</v>
      </c>
      <c r="I119" s="28" t="s">
        <v>71</v>
      </c>
      <c r="J119" s="28" t="s">
        <v>72</v>
      </c>
      <c r="K119" s="28"/>
      <c r="L119" s="28"/>
    </row>
    <row r="120" spans="1:12" ht="32.25" customHeight="1" x14ac:dyDescent="0.2">
      <c r="A120" s="28" t="s">
        <v>2086</v>
      </c>
      <c r="B120" s="28" t="s">
        <v>499</v>
      </c>
      <c r="C120" s="28" t="s">
        <v>2100</v>
      </c>
      <c r="D120" s="28" t="s">
        <v>2101</v>
      </c>
      <c r="E120" s="29"/>
      <c r="F120" s="29" t="s">
        <v>67</v>
      </c>
      <c r="G120" s="29"/>
      <c r="H120" s="28" t="s">
        <v>2102</v>
      </c>
      <c r="I120" s="28" t="s">
        <v>71</v>
      </c>
      <c r="J120" s="28" t="s">
        <v>72</v>
      </c>
      <c r="K120" s="28"/>
      <c r="L120" s="28"/>
    </row>
    <row r="121" spans="1:12" ht="32.25" customHeight="1" x14ac:dyDescent="0.2">
      <c r="A121" s="28" t="s">
        <v>2086</v>
      </c>
      <c r="B121" s="28" t="s">
        <v>499</v>
      </c>
      <c r="C121" s="28" t="s">
        <v>2103</v>
      </c>
      <c r="D121" s="28" t="s">
        <v>2104</v>
      </c>
      <c r="E121" s="29"/>
      <c r="F121" s="29"/>
      <c r="G121" s="29"/>
      <c r="H121" s="28" t="s">
        <v>2105</v>
      </c>
      <c r="I121" s="28" t="s">
        <v>71</v>
      </c>
      <c r="J121" s="28" t="s">
        <v>72</v>
      </c>
      <c r="K121" s="28"/>
      <c r="L121" s="28"/>
    </row>
    <row r="122" spans="1:12" ht="32.25" customHeight="1" x14ac:dyDescent="0.2">
      <c r="A122" s="28" t="s">
        <v>2086</v>
      </c>
      <c r="B122" s="28" t="s">
        <v>11</v>
      </c>
      <c r="C122" s="28" t="s">
        <v>2106</v>
      </c>
      <c r="D122" s="28" t="s">
        <v>2107</v>
      </c>
      <c r="E122" s="29"/>
      <c r="F122" s="29"/>
      <c r="G122" s="29"/>
      <c r="H122" s="28" t="s">
        <v>2108</v>
      </c>
      <c r="I122" s="28" t="s">
        <v>71</v>
      </c>
      <c r="J122" s="28" t="s">
        <v>72</v>
      </c>
      <c r="K122" s="28"/>
      <c r="L122" s="28"/>
    </row>
    <row r="123" spans="1:12" ht="42.75" customHeight="1" x14ac:dyDescent="0.2">
      <c r="A123" s="28" t="s">
        <v>2086</v>
      </c>
      <c r="B123" s="28" t="s">
        <v>11</v>
      </c>
      <c r="C123" s="28" t="s">
        <v>2109</v>
      </c>
      <c r="D123" s="28" t="s">
        <v>2110</v>
      </c>
      <c r="E123" s="29"/>
      <c r="F123" s="29"/>
      <c r="G123" s="29"/>
      <c r="H123" s="28" t="s">
        <v>2111</v>
      </c>
      <c r="I123" s="28" t="s">
        <v>71</v>
      </c>
      <c r="J123" s="28" t="s">
        <v>72</v>
      </c>
      <c r="K123" s="28"/>
      <c r="L123" s="28"/>
    </row>
    <row r="124" spans="1:12" ht="15" customHeight="1" x14ac:dyDescent="0.2">
      <c r="A124" s="6" t="s">
        <v>2112</v>
      </c>
      <c r="B124" s="6"/>
      <c r="C124" s="6"/>
      <c r="D124" s="6"/>
      <c r="E124" s="6"/>
      <c r="F124" s="6"/>
      <c r="G124" s="6"/>
      <c r="H124" s="6"/>
      <c r="I124" s="6"/>
      <c r="J124" s="6"/>
      <c r="K124" s="6"/>
      <c r="L124" s="6"/>
    </row>
    <row r="125" spans="1:12" ht="21.75" customHeight="1" x14ac:dyDescent="0.2">
      <c r="A125" s="28" t="s">
        <v>2113</v>
      </c>
      <c r="B125" s="28" t="s">
        <v>2050</v>
      </c>
      <c r="C125" s="28" t="s">
        <v>219</v>
      </c>
      <c r="D125" s="28" t="s">
        <v>220</v>
      </c>
      <c r="E125" s="29"/>
      <c r="F125" s="29"/>
      <c r="G125" s="29"/>
      <c r="H125" s="28" t="s">
        <v>221</v>
      </c>
      <c r="I125" s="28" t="s">
        <v>71</v>
      </c>
      <c r="J125" s="28" t="s">
        <v>72</v>
      </c>
      <c r="K125" s="28"/>
      <c r="L125" s="28"/>
    </row>
    <row r="126" spans="1:12" ht="21.75" customHeight="1" x14ac:dyDescent="0.2">
      <c r="A126" s="28" t="s">
        <v>2113</v>
      </c>
      <c r="B126" s="28" t="s">
        <v>2050</v>
      </c>
      <c r="C126" s="28" t="s">
        <v>271</v>
      </c>
      <c r="D126" s="28" t="s">
        <v>220</v>
      </c>
      <c r="E126" s="29"/>
      <c r="F126" s="29"/>
      <c r="G126" s="29"/>
      <c r="H126" s="28" t="s">
        <v>272</v>
      </c>
      <c r="I126" s="28" t="s">
        <v>71</v>
      </c>
      <c r="J126" s="28" t="s">
        <v>72</v>
      </c>
      <c r="K126" s="28"/>
      <c r="L126" s="28"/>
    </row>
    <row r="127" spans="1:12" ht="21.75" customHeight="1" x14ac:dyDescent="0.2">
      <c r="A127" s="28" t="s">
        <v>2113</v>
      </c>
      <c r="B127" s="28" t="s">
        <v>2050</v>
      </c>
      <c r="C127" s="28" t="s">
        <v>352</v>
      </c>
      <c r="D127" s="28" t="s">
        <v>353</v>
      </c>
      <c r="E127" s="29"/>
      <c r="F127" s="29"/>
      <c r="G127" s="29"/>
      <c r="H127" s="28" t="s">
        <v>354</v>
      </c>
      <c r="I127" s="28" t="s">
        <v>71</v>
      </c>
      <c r="J127" s="28" t="s">
        <v>72</v>
      </c>
      <c r="K127" s="28"/>
      <c r="L127" s="28"/>
    </row>
    <row r="128" spans="1:12" ht="21.75" customHeight="1" x14ac:dyDescent="0.2">
      <c r="A128" s="28" t="s">
        <v>2113</v>
      </c>
      <c r="B128" s="28" t="s">
        <v>2050</v>
      </c>
      <c r="C128" s="28" t="s">
        <v>357</v>
      </c>
      <c r="D128" s="28" t="s">
        <v>358</v>
      </c>
      <c r="E128" s="29"/>
      <c r="F128" s="29"/>
      <c r="G128" s="29"/>
      <c r="H128" s="28" t="s">
        <v>359</v>
      </c>
      <c r="I128" s="28" t="s">
        <v>71</v>
      </c>
      <c r="J128" s="28" t="s">
        <v>72</v>
      </c>
      <c r="K128" s="28"/>
      <c r="L128" s="28"/>
    </row>
    <row r="129" spans="1:12" ht="21.75" customHeight="1" x14ac:dyDescent="0.2">
      <c r="A129" s="28" t="s">
        <v>2113</v>
      </c>
      <c r="B129" s="28" t="s">
        <v>2050</v>
      </c>
      <c r="C129" s="28" t="s">
        <v>361</v>
      </c>
      <c r="D129" s="28" t="s">
        <v>362</v>
      </c>
      <c r="E129" s="29"/>
      <c r="F129" s="29"/>
      <c r="G129" s="29"/>
      <c r="H129" s="28" t="s">
        <v>363</v>
      </c>
      <c r="I129" s="28" t="s">
        <v>71</v>
      </c>
      <c r="J129" s="28" t="s">
        <v>72</v>
      </c>
      <c r="K129" s="28"/>
      <c r="L129" s="28"/>
    </row>
    <row r="130" spans="1:12" ht="21.75" customHeight="1" x14ac:dyDescent="0.2">
      <c r="A130" s="28" t="s">
        <v>2113</v>
      </c>
      <c r="B130" s="28" t="s">
        <v>2050</v>
      </c>
      <c r="C130" s="28" t="s">
        <v>366</v>
      </c>
      <c r="D130" s="28" t="s">
        <v>367</v>
      </c>
      <c r="E130" s="29"/>
      <c r="F130" s="29"/>
      <c r="G130" s="29"/>
      <c r="H130" s="28" t="s">
        <v>368</v>
      </c>
      <c r="I130" s="28" t="s">
        <v>71</v>
      </c>
      <c r="J130" s="28" t="s">
        <v>72</v>
      </c>
      <c r="K130" s="28"/>
      <c r="L130" s="28"/>
    </row>
    <row r="131" spans="1:12" ht="32.25" customHeight="1" x14ac:dyDescent="0.2">
      <c r="A131" s="28" t="s">
        <v>2113</v>
      </c>
      <c r="B131" s="28" t="s">
        <v>461</v>
      </c>
      <c r="C131" s="28" t="s">
        <v>684</v>
      </c>
      <c r="D131" s="28" t="s">
        <v>685</v>
      </c>
      <c r="E131" s="29"/>
      <c r="F131" s="29" t="s">
        <v>67</v>
      </c>
      <c r="G131" s="29" t="s">
        <v>67</v>
      </c>
      <c r="H131" s="28" t="s">
        <v>2114</v>
      </c>
      <c r="I131" s="28" t="s">
        <v>71</v>
      </c>
      <c r="J131" s="28" t="s">
        <v>72</v>
      </c>
      <c r="K131" s="28"/>
      <c r="L131" s="28"/>
    </row>
    <row r="132" spans="1:12" ht="32.25" customHeight="1" x14ac:dyDescent="0.2">
      <c r="A132" s="28" t="s">
        <v>2113</v>
      </c>
      <c r="B132" s="28" t="s">
        <v>461</v>
      </c>
      <c r="C132" s="28" t="s">
        <v>690</v>
      </c>
      <c r="D132" s="28" t="s">
        <v>691</v>
      </c>
      <c r="E132" s="29"/>
      <c r="F132" s="29"/>
      <c r="G132" s="29"/>
      <c r="H132" s="28" t="s">
        <v>2115</v>
      </c>
      <c r="I132" s="28" t="s">
        <v>71</v>
      </c>
      <c r="J132" s="28" t="s">
        <v>72</v>
      </c>
      <c r="K132" s="28"/>
      <c r="L132" s="28"/>
    </row>
    <row r="133" spans="1:12" ht="32.25" customHeight="1" x14ac:dyDescent="0.2">
      <c r="A133" s="28" t="s">
        <v>2113</v>
      </c>
      <c r="B133" s="28" t="s">
        <v>467</v>
      </c>
      <c r="C133" s="28" t="s">
        <v>862</v>
      </c>
      <c r="D133" s="28" t="s">
        <v>863</v>
      </c>
      <c r="E133" s="29"/>
      <c r="F133" s="29"/>
      <c r="G133" s="29"/>
      <c r="H133" s="28" t="s">
        <v>864</v>
      </c>
      <c r="I133" s="28" t="s">
        <v>71</v>
      </c>
      <c r="J133" s="28" t="s">
        <v>72</v>
      </c>
      <c r="K133" s="28"/>
      <c r="L133" s="28"/>
    </row>
    <row r="134" spans="1:12" ht="42.75" customHeight="1" x14ac:dyDescent="0.2">
      <c r="A134" s="28" t="s">
        <v>2113</v>
      </c>
      <c r="B134" s="28" t="s">
        <v>467</v>
      </c>
      <c r="C134" s="28" t="s">
        <v>901</v>
      </c>
      <c r="D134" s="28" t="s">
        <v>902</v>
      </c>
      <c r="E134" s="29" t="s">
        <v>67</v>
      </c>
      <c r="F134" s="29" t="s">
        <v>67</v>
      </c>
      <c r="G134" s="29" t="s">
        <v>67</v>
      </c>
      <c r="H134" s="28" t="s">
        <v>903</v>
      </c>
      <c r="I134" s="28" t="s">
        <v>71</v>
      </c>
      <c r="J134" s="28" t="s">
        <v>72</v>
      </c>
      <c r="K134" s="28"/>
      <c r="L134" s="28"/>
    </row>
    <row r="135" spans="1:12" ht="32.25" customHeight="1" x14ac:dyDescent="0.2">
      <c r="A135" s="28" t="s">
        <v>2113</v>
      </c>
      <c r="B135" s="28" t="s">
        <v>470</v>
      </c>
      <c r="C135" s="28" t="s">
        <v>910</v>
      </c>
      <c r="D135" s="28" t="s">
        <v>911</v>
      </c>
      <c r="E135" s="29"/>
      <c r="F135" s="29"/>
      <c r="G135" s="29"/>
      <c r="H135" s="28" t="s">
        <v>2116</v>
      </c>
      <c r="I135" s="28" t="s">
        <v>71</v>
      </c>
      <c r="J135" s="28" t="s">
        <v>72</v>
      </c>
      <c r="K135" s="28"/>
      <c r="L135" s="28"/>
    </row>
    <row r="136" spans="1:12" ht="21.75" customHeight="1" x14ac:dyDescent="0.2">
      <c r="A136" s="28" t="s">
        <v>2113</v>
      </c>
      <c r="B136" s="28" t="s">
        <v>470</v>
      </c>
      <c r="C136" s="28" t="s">
        <v>197</v>
      </c>
      <c r="D136" s="28" t="s">
        <v>917</v>
      </c>
      <c r="E136" s="29"/>
      <c r="F136" s="29"/>
      <c r="G136" s="29"/>
      <c r="H136" s="28" t="s">
        <v>918</v>
      </c>
      <c r="I136" s="28" t="s">
        <v>71</v>
      </c>
      <c r="J136" s="28" t="s">
        <v>72</v>
      </c>
      <c r="K136" s="28"/>
      <c r="L136" s="28"/>
    </row>
    <row r="137" spans="1:12" ht="21.75" customHeight="1" x14ac:dyDescent="0.2">
      <c r="A137" s="28" t="s">
        <v>2113</v>
      </c>
      <c r="B137" s="28" t="s">
        <v>470</v>
      </c>
      <c r="C137" s="28" t="s">
        <v>203</v>
      </c>
      <c r="D137" s="28" t="s">
        <v>920</v>
      </c>
      <c r="E137" s="29"/>
      <c r="F137" s="29"/>
      <c r="G137" s="29"/>
      <c r="H137" s="28" t="s">
        <v>921</v>
      </c>
      <c r="I137" s="28" t="s">
        <v>71</v>
      </c>
      <c r="J137" s="28" t="s">
        <v>72</v>
      </c>
      <c r="K137" s="28"/>
      <c r="L137" s="28"/>
    </row>
    <row r="138" spans="1:12" ht="21.75" customHeight="1" x14ac:dyDescent="0.2">
      <c r="A138" s="28" t="s">
        <v>2113</v>
      </c>
      <c r="B138" s="28" t="s">
        <v>470</v>
      </c>
      <c r="C138" s="28" t="s">
        <v>208</v>
      </c>
      <c r="D138" s="28" t="s">
        <v>923</v>
      </c>
      <c r="E138" s="29"/>
      <c r="F138" s="29"/>
      <c r="G138" s="29"/>
      <c r="H138" s="28" t="s">
        <v>924</v>
      </c>
      <c r="I138" s="28" t="s">
        <v>71</v>
      </c>
      <c r="J138" s="28" t="s">
        <v>72</v>
      </c>
      <c r="K138" s="28"/>
      <c r="L138" s="28"/>
    </row>
    <row r="139" spans="1:12" ht="21.75" customHeight="1" x14ac:dyDescent="0.2">
      <c r="A139" s="28" t="s">
        <v>2113</v>
      </c>
      <c r="B139" s="28" t="s">
        <v>470</v>
      </c>
      <c r="C139" s="28" t="s">
        <v>934</v>
      </c>
      <c r="D139" s="28" t="s">
        <v>935</v>
      </c>
      <c r="E139" s="29"/>
      <c r="F139" s="29"/>
      <c r="G139" s="29"/>
      <c r="H139" s="28" t="s">
        <v>936</v>
      </c>
      <c r="I139" s="28" t="s">
        <v>71</v>
      </c>
      <c r="J139" s="28" t="s">
        <v>72</v>
      </c>
      <c r="K139" s="28"/>
      <c r="L139" s="28"/>
    </row>
    <row r="140" spans="1:12" ht="32.25" customHeight="1" x14ac:dyDescent="0.2">
      <c r="A140" s="28" t="s">
        <v>2113</v>
      </c>
      <c r="B140" s="28" t="s">
        <v>470</v>
      </c>
      <c r="C140" s="28" t="s">
        <v>938</v>
      </c>
      <c r="D140" s="28" t="s">
        <v>939</v>
      </c>
      <c r="E140" s="29" t="s">
        <v>67</v>
      </c>
      <c r="F140" s="29"/>
      <c r="G140" s="29"/>
      <c r="H140" s="28" t="s">
        <v>940</v>
      </c>
      <c r="I140" s="28" t="s">
        <v>71</v>
      </c>
      <c r="J140" s="28" t="s">
        <v>72</v>
      </c>
      <c r="K140" s="28"/>
      <c r="L140" s="28"/>
    </row>
    <row r="141" spans="1:12" ht="21.75" customHeight="1" x14ac:dyDescent="0.2">
      <c r="A141" s="28" t="s">
        <v>2113</v>
      </c>
      <c r="B141" s="28" t="s">
        <v>470</v>
      </c>
      <c r="C141" s="28" t="s">
        <v>947</v>
      </c>
      <c r="D141" s="28" t="s">
        <v>948</v>
      </c>
      <c r="E141" s="29"/>
      <c r="F141" s="29"/>
      <c r="G141" s="29"/>
      <c r="H141" s="28" t="s">
        <v>949</v>
      </c>
      <c r="I141" s="28" t="s">
        <v>71</v>
      </c>
      <c r="J141" s="28" t="s">
        <v>72</v>
      </c>
      <c r="K141" s="28"/>
      <c r="L141" s="28"/>
    </row>
    <row r="142" spans="1:12" ht="21.75" customHeight="1" x14ac:dyDescent="0.2">
      <c r="A142" s="28" t="s">
        <v>2113</v>
      </c>
      <c r="B142" s="28" t="s">
        <v>470</v>
      </c>
      <c r="C142" s="28" t="s">
        <v>951</v>
      </c>
      <c r="D142" s="28" t="s">
        <v>952</v>
      </c>
      <c r="E142" s="29"/>
      <c r="F142" s="29"/>
      <c r="G142" s="29"/>
      <c r="H142" s="28" t="s">
        <v>953</v>
      </c>
      <c r="I142" s="28" t="s">
        <v>71</v>
      </c>
      <c r="J142" s="28" t="s">
        <v>72</v>
      </c>
      <c r="K142" s="28"/>
      <c r="L142" s="28"/>
    </row>
    <row r="143" spans="1:12" ht="32.25" customHeight="1" x14ac:dyDescent="0.2">
      <c r="A143" s="28" t="s">
        <v>2113</v>
      </c>
      <c r="B143" s="28" t="s">
        <v>470</v>
      </c>
      <c r="C143" s="28" t="s">
        <v>225</v>
      </c>
      <c r="D143" s="28" t="s">
        <v>965</v>
      </c>
      <c r="E143" s="29"/>
      <c r="F143" s="29"/>
      <c r="G143" s="29"/>
      <c r="H143" s="28" t="s">
        <v>966</v>
      </c>
      <c r="I143" s="28" t="s">
        <v>71</v>
      </c>
      <c r="J143" s="28" t="s">
        <v>72</v>
      </c>
      <c r="K143" s="28"/>
      <c r="L143" s="28"/>
    </row>
    <row r="144" spans="1:12" ht="21.75" customHeight="1" x14ac:dyDescent="0.2">
      <c r="A144" s="28" t="s">
        <v>2113</v>
      </c>
      <c r="B144" s="28" t="s">
        <v>470</v>
      </c>
      <c r="C144" s="28" t="s">
        <v>972</v>
      </c>
      <c r="D144" s="28" t="s">
        <v>973</v>
      </c>
      <c r="E144" s="29"/>
      <c r="F144" s="29"/>
      <c r="G144" s="29"/>
      <c r="H144" s="28" t="s">
        <v>974</v>
      </c>
      <c r="I144" s="28" t="s">
        <v>71</v>
      </c>
      <c r="J144" s="28" t="s">
        <v>72</v>
      </c>
      <c r="K144" s="28"/>
      <c r="L144" s="28"/>
    </row>
    <row r="145" spans="1:12" ht="32.25" customHeight="1" x14ac:dyDescent="0.2">
      <c r="A145" s="28" t="s">
        <v>2113</v>
      </c>
      <c r="B145" s="28" t="s">
        <v>470</v>
      </c>
      <c r="C145" s="28" t="s">
        <v>94</v>
      </c>
      <c r="D145" s="28" t="s">
        <v>983</v>
      </c>
      <c r="E145" s="29"/>
      <c r="F145" s="29"/>
      <c r="G145" s="29"/>
      <c r="H145" s="28" t="s">
        <v>984</v>
      </c>
      <c r="I145" s="28" t="s">
        <v>71</v>
      </c>
      <c r="J145" s="28" t="s">
        <v>72</v>
      </c>
      <c r="K145" s="28"/>
      <c r="L145" s="28"/>
    </row>
    <row r="146" spans="1:12" ht="21.75" customHeight="1" x14ac:dyDescent="0.2">
      <c r="A146" s="28" t="s">
        <v>2113</v>
      </c>
      <c r="B146" s="28" t="s">
        <v>470</v>
      </c>
      <c r="C146" s="28" t="s">
        <v>994</v>
      </c>
      <c r="D146" s="28" t="s">
        <v>995</v>
      </c>
      <c r="E146" s="29"/>
      <c r="F146" s="29"/>
      <c r="G146" s="29"/>
      <c r="H146" s="28" t="s">
        <v>996</v>
      </c>
      <c r="I146" s="28" t="s">
        <v>71</v>
      </c>
      <c r="J146" s="28" t="s">
        <v>72</v>
      </c>
      <c r="K146" s="28"/>
      <c r="L146" s="28"/>
    </row>
    <row r="147" spans="1:12" ht="32.25" customHeight="1" x14ac:dyDescent="0.2">
      <c r="A147" s="28" t="s">
        <v>2113</v>
      </c>
      <c r="B147" s="28" t="s">
        <v>479</v>
      </c>
      <c r="C147" s="28" t="s">
        <v>1863</v>
      </c>
      <c r="D147" s="28" t="s">
        <v>1864</v>
      </c>
      <c r="E147" s="29" t="s">
        <v>67</v>
      </c>
      <c r="F147" s="29"/>
      <c r="G147" s="29"/>
      <c r="H147" s="28" t="s">
        <v>2117</v>
      </c>
      <c r="I147" s="28" t="s">
        <v>71</v>
      </c>
      <c r="J147" s="28" t="s">
        <v>72</v>
      </c>
      <c r="K147" s="28"/>
      <c r="L147" s="28"/>
    </row>
    <row r="148" spans="1:12" ht="32.25" customHeight="1" x14ac:dyDescent="0.2">
      <c r="A148" s="28" t="s">
        <v>2113</v>
      </c>
      <c r="B148" s="28" t="s">
        <v>484</v>
      </c>
      <c r="C148" s="28" t="s">
        <v>241</v>
      </c>
      <c r="D148" s="28" t="s">
        <v>2009</v>
      </c>
      <c r="E148" s="29"/>
      <c r="F148" s="29"/>
      <c r="G148" s="29"/>
      <c r="H148" s="28" t="s">
        <v>2118</v>
      </c>
      <c r="I148" s="28" t="s">
        <v>71</v>
      </c>
      <c r="J148" s="28" t="s">
        <v>72</v>
      </c>
      <c r="K148" s="28"/>
      <c r="L148" s="28"/>
    </row>
    <row r="149" spans="1:12" ht="32.25" customHeight="1" x14ac:dyDescent="0.2">
      <c r="A149" s="28" t="s">
        <v>2113</v>
      </c>
      <c r="B149" s="28" t="s">
        <v>2052</v>
      </c>
      <c r="C149" s="28" t="s">
        <v>800</v>
      </c>
      <c r="D149" s="28" t="s">
        <v>2119</v>
      </c>
      <c r="E149" s="29"/>
      <c r="F149" s="29"/>
      <c r="G149" s="29"/>
      <c r="H149" s="28" t="s">
        <v>2120</v>
      </c>
      <c r="I149" s="28" t="s">
        <v>71</v>
      </c>
      <c r="J149" s="28" t="s">
        <v>72</v>
      </c>
      <c r="K149" s="28"/>
      <c r="L149" s="28"/>
    </row>
    <row r="150" spans="1:12" ht="32.25" customHeight="1" x14ac:dyDescent="0.2">
      <c r="A150" s="28" t="s">
        <v>2113</v>
      </c>
      <c r="B150" s="28" t="s">
        <v>499</v>
      </c>
      <c r="C150" s="28" t="s">
        <v>2121</v>
      </c>
      <c r="D150" s="28" t="s">
        <v>2122</v>
      </c>
      <c r="E150" s="29"/>
      <c r="F150" s="29"/>
      <c r="G150" s="29"/>
      <c r="H150" s="28" t="s">
        <v>2123</v>
      </c>
      <c r="I150" s="28" t="s">
        <v>71</v>
      </c>
      <c r="J150" s="28" t="s">
        <v>72</v>
      </c>
      <c r="K150" s="28"/>
      <c r="L150" s="28"/>
    </row>
    <row r="151" spans="1:12" ht="32.25" customHeight="1" x14ac:dyDescent="0.2">
      <c r="A151" s="28" t="s">
        <v>2113</v>
      </c>
      <c r="B151" s="28" t="s">
        <v>499</v>
      </c>
      <c r="C151" s="28" t="s">
        <v>2124</v>
      </c>
      <c r="D151" s="28" t="s">
        <v>2125</v>
      </c>
      <c r="E151" s="29"/>
      <c r="F151" s="29"/>
      <c r="G151" s="29"/>
      <c r="H151" s="28" t="s">
        <v>2126</v>
      </c>
      <c r="I151" s="28" t="s">
        <v>71</v>
      </c>
      <c r="J151" s="28" t="s">
        <v>72</v>
      </c>
      <c r="K151" s="28"/>
      <c r="L151" s="28"/>
    </row>
    <row r="152" spans="1:12" ht="15" customHeight="1" x14ac:dyDescent="0.2">
      <c r="A152" s="6" t="s">
        <v>2127</v>
      </c>
      <c r="B152" s="6"/>
      <c r="C152" s="6"/>
      <c r="D152" s="6"/>
      <c r="E152" s="6"/>
      <c r="F152" s="6"/>
      <c r="G152" s="6"/>
      <c r="H152" s="6"/>
      <c r="I152" s="6"/>
      <c r="J152" s="6"/>
      <c r="K152" s="6"/>
      <c r="L152" s="6"/>
    </row>
    <row r="153" spans="1:12" ht="21.75" customHeight="1" x14ac:dyDescent="0.2">
      <c r="A153" s="28" t="s">
        <v>2128</v>
      </c>
      <c r="B153" s="28" t="s">
        <v>2050</v>
      </c>
      <c r="C153" s="28" t="s">
        <v>130</v>
      </c>
      <c r="D153" s="28" t="s">
        <v>131</v>
      </c>
      <c r="E153" s="29" t="s">
        <v>67</v>
      </c>
      <c r="F153" s="29" t="s">
        <v>67</v>
      </c>
      <c r="G153" s="29" t="s">
        <v>67</v>
      </c>
      <c r="H153" s="28" t="s">
        <v>132</v>
      </c>
      <c r="I153" s="28" t="s">
        <v>71</v>
      </c>
      <c r="J153" s="28" t="s">
        <v>72</v>
      </c>
      <c r="K153" s="28"/>
      <c r="L153" s="28"/>
    </row>
    <row r="154" spans="1:12" ht="21.75" customHeight="1" x14ac:dyDescent="0.2">
      <c r="A154" s="28" t="s">
        <v>2128</v>
      </c>
      <c r="B154" s="28" t="s">
        <v>2050</v>
      </c>
      <c r="C154" s="28" t="s">
        <v>136</v>
      </c>
      <c r="D154" s="28" t="s">
        <v>137</v>
      </c>
      <c r="E154" s="29" t="s">
        <v>67</v>
      </c>
      <c r="F154" s="29" t="s">
        <v>67</v>
      </c>
      <c r="G154" s="29"/>
      <c r="H154" s="28" t="s">
        <v>138</v>
      </c>
      <c r="I154" s="28" t="s">
        <v>71</v>
      </c>
      <c r="J154" s="28" t="s">
        <v>72</v>
      </c>
      <c r="K154" s="28"/>
      <c r="L154" s="28"/>
    </row>
    <row r="155" spans="1:12" ht="21.75" customHeight="1" x14ac:dyDescent="0.2">
      <c r="A155" s="28" t="s">
        <v>2128</v>
      </c>
      <c r="B155" s="28" t="s">
        <v>2050</v>
      </c>
      <c r="C155" s="28" t="s">
        <v>275</v>
      </c>
      <c r="D155" s="28" t="s">
        <v>276</v>
      </c>
      <c r="E155" s="29"/>
      <c r="F155" s="29"/>
      <c r="G155" s="29"/>
      <c r="H155" s="28" t="s">
        <v>277</v>
      </c>
      <c r="I155" s="28" t="s">
        <v>71</v>
      </c>
      <c r="J155" s="28" t="s">
        <v>72</v>
      </c>
      <c r="K155" s="28"/>
      <c r="L155" s="28"/>
    </row>
    <row r="156" spans="1:12" ht="32.25" customHeight="1" x14ac:dyDescent="0.2">
      <c r="A156" s="28" t="s">
        <v>2128</v>
      </c>
      <c r="B156" s="28" t="s">
        <v>2050</v>
      </c>
      <c r="C156" s="28" t="s">
        <v>293</v>
      </c>
      <c r="D156" s="28" t="s">
        <v>294</v>
      </c>
      <c r="E156" s="29"/>
      <c r="F156" s="29"/>
      <c r="G156" s="29"/>
      <c r="H156" s="28" t="s">
        <v>295</v>
      </c>
      <c r="I156" s="28" t="s">
        <v>71</v>
      </c>
      <c r="J156" s="28" t="s">
        <v>72</v>
      </c>
      <c r="K156" s="28"/>
      <c r="L156" s="28"/>
    </row>
    <row r="157" spans="1:12" ht="21.75" customHeight="1" x14ac:dyDescent="0.2">
      <c r="A157" s="28" t="s">
        <v>2128</v>
      </c>
      <c r="B157" s="28" t="s">
        <v>461</v>
      </c>
      <c r="C157" s="28" t="s">
        <v>607</v>
      </c>
      <c r="D157" s="28" t="s">
        <v>608</v>
      </c>
      <c r="E157" s="29"/>
      <c r="F157" s="29" t="s">
        <v>67</v>
      </c>
      <c r="G157" s="29" t="s">
        <v>67</v>
      </c>
      <c r="H157" s="28" t="s">
        <v>610</v>
      </c>
      <c r="I157" s="28" t="s">
        <v>71</v>
      </c>
      <c r="J157" s="28" t="s">
        <v>72</v>
      </c>
      <c r="K157" s="28"/>
      <c r="L157" s="28"/>
    </row>
    <row r="158" spans="1:12" ht="32.25" customHeight="1" x14ac:dyDescent="0.2">
      <c r="A158" s="28" t="s">
        <v>2128</v>
      </c>
      <c r="B158" s="28" t="s">
        <v>461</v>
      </c>
      <c r="C158" s="28" t="s">
        <v>636</v>
      </c>
      <c r="D158" s="28" t="s">
        <v>637</v>
      </c>
      <c r="E158" s="29"/>
      <c r="F158" s="29"/>
      <c r="G158" s="29"/>
      <c r="H158" s="28" t="s">
        <v>639</v>
      </c>
      <c r="I158" s="28" t="s">
        <v>71</v>
      </c>
      <c r="J158" s="28" t="s">
        <v>72</v>
      </c>
      <c r="K158" s="28"/>
      <c r="L158" s="28"/>
    </row>
    <row r="159" spans="1:12" ht="32.25" customHeight="1" x14ac:dyDescent="0.2">
      <c r="A159" s="28" t="s">
        <v>2128</v>
      </c>
      <c r="B159" s="28" t="s">
        <v>461</v>
      </c>
      <c r="C159" s="28" t="s">
        <v>646</v>
      </c>
      <c r="D159" s="28" t="s">
        <v>647</v>
      </c>
      <c r="E159" s="29"/>
      <c r="F159" s="29" t="s">
        <v>67</v>
      </c>
      <c r="G159" s="29" t="s">
        <v>67</v>
      </c>
      <c r="H159" s="28" t="s">
        <v>649</v>
      </c>
      <c r="I159" s="28" t="s">
        <v>71</v>
      </c>
      <c r="J159" s="28" t="s">
        <v>72</v>
      </c>
      <c r="K159" s="28"/>
      <c r="L159" s="28"/>
    </row>
    <row r="160" spans="1:12" ht="32.25" customHeight="1" x14ac:dyDescent="0.2">
      <c r="A160" s="28" t="s">
        <v>2128</v>
      </c>
      <c r="B160" s="28" t="s">
        <v>461</v>
      </c>
      <c r="C160" s="28" t="s">
        <v>657</v>
      </c>
      <c r="D160" s="28" t="s">
        <v>658</v>
      </c>
      <c r="E160" s="29" t="s">
        <v>67</v>
      </c>
      <c r="F160" s="29"/>
      <c r="G160" s="29"/>
      <c r="H160" s="28" t="s">
        <v>660</v>
      </c>
      <c r="I160" s="28" t="s">
        <v>71</v>
      </c>
      <c r="J160" s="28" t="s">
        <v>72</v>
      </c>
      <c r="K160" s="28"/>
      <c r="L160" s="28"/>
    </row>
    <row r="161" spans="1:12" ht="32.25" customHeight="1" x14ac:dyDescent="0.2">
      <c r="A161" s="28" t="s">
        <v>2128</v>
      </c>
      <c r="B161" s="28" t="s">
        <v>461</v>
      </c>
      <c r="C161" s="28" t="s">
        <v>717</v>
      </c>
      <c r="D161" s="28" t="s">
        <v>718</v>
      </c>
      <c r="E161" s="29"/>
      <c r="F161" s="29" t="s">
        <v>67</v>
      </c>
      <c r="G161" s="29" t="s">
        <v>67</v>
      </c>
      <c r="H161" s="28" t="s">
        <v>720</v>
      </c>
      <c r="I161" s="28" t="s">
        <v>71</v>
      </c>
      <c r="J161" s="28" t="s">
        <v>72</v>
      </c>
      <c r="K161" s="28"/>
      <c r="L161" s="28"/>
    </row>
    <row r="162" spans="1:12" ht="32.25" customHeight="1" x14ac:dyDescent="0.2">
      <c r="A162" s="28" t="s">
        <v>2128</v>
      </c>
      <c r="B162" s="28" t="s">
        <v>461</v>
      </c>
      <c r="C162" s="28" t="s">
        <v>740</v>
      </c>
      <c r="D162" s="28" t="s">
        <v>741</v>
      </c>
      <c r="E162" s="29"/>
      <c r="F162" s="29"/>
      <c r="G162" s="29"/>
      <c r="H162" s="28" t="s">
        <v>743</v>
      </c>
      <c r="I162" s="28" t="s">
        <v>71</v>
      </c>
      <c r="J162" s="28" t="s">
        <v>72</v>
      </c>
      <c r="K162" s="28"/>
      <c r="L162" s="28"/>
    </row>
    <row r="163" spans="1:12" ht="32.25" customHeight="1" x14ac:dyDescent="0.2">
      <c r="A163" s="28" t="s">
        <v>2128</v>
      </c>
      <c r="B163" s="28" t="s">
        <v>464</v>
      </c>
      <c r="C163" s="28" t="s">
        <v>767</v>
      </c>
      <c r="D163" s="28" t="s">
        <v>768</v>
      </c>
      <c r="E163" s="29"/>
      <c r="F163" s="29" t="s">
        <v>67</v>
      </c>
      <c r="G163" s="29" t="s">
        <v>67</v>
      </c>
      <c r="H163" s="28" t="s">
        <v>2129</v>
      </c>
      <c r="I163" s="28" t="s">
        <v>71</v>
      </c>
      <c r="J163" s="28" t="s">
        <v>72</v>
      </c>
      <c r="K163" s="28"/>
      <c r="L163" s="28"/>
    </row>
    <row r="164" spans="1:12" ht="21.75" customHeight="1" x14ac:dyDescent="0.2">
      <c r="A164" s="28" t="s">
        <v>2128</v>
      </c>
      <c r="B164" s="28" t="s">
        <v>467</v>
      </c>
      <c r="C164" s="28" t="s">
        <v>877</v>
      </c>
      <c r="D164" s="28" t="s">
        <v>878</v>
      </c>
      <c r="E164" s="29"/>
      <c r="F164" s="29" t="s">
        <v>67</v>
      </c>
      <c r="G164" s="29" t="s">
        <v>67</v>
      </c>
      <c r="H164" s="28" t="s">
        <v>879</v>
      </c>
      <c r="I164" s="28" t="s">
        <v>71</v>
      </c>
      <c r="J164" s="28" t="s">
        <v>72</v>
      </c>
      <c r="K164" s="28"/>
      <c r="L164" s="28"/>
    </row>
    <row r="165" spans="1:12" ht="21.75" customHeight="1" x14ac:dyDescent="0.2">
      <c r="A165" s="28" t="s">
        <v>2128</v>
      </c>
      <c r="B165" s="28" t="s">
        <v>2051</v>
      </c>
      <c r="C165" s="28" t="s">
        <v>275</v>
      </c>
      <c r="D165" s="28" t="s">
        <v>276</v>
      </c>
      <c r="E165" s="29"/>
      <c r="F165" s="29"/>
      <c r="G165" s="29"/>
      <c r="H165" s="28" t="s">
        <v>1063</v>
      </c>
      <c r="I165" s="28" t="s">
        <v>71</v>
      </c>
      <c r="J165" s="28" t="s">
        <v>72</v>
      </c>
      <c r="K165" s="28"/>
      <c r="L165" s="28"/>
    </row>
    <row r="166" spans="1:12" ht="32.25" customHeight="1" x14ac:dyDescent="0.2">
      <c r="A166" s="28" t="s">
        <v>2128</v>
      </c>
      <c r="B166" s="28" t="s">
        <v>2051</v>
      </c>
      <c r="C166" s="28" t="s">
        <v>293</v>
      </c>
      <c r="D166" s="28" t="s">
        <v>294</v>
      </c>
      <c r="E166" s="29"/>
      <c r="F166" s="29"/>
      <c r="G166" s="29"/>
      <c r="H166" s="28" t="s">
        <v>1070</v>
      </c>
      <c r="I166" s="28" t="s">
        <v>71</v>
      </c>
      <c r="J166" s="28" t="s">
        <v>72</v>
      </c>
      <c r="K166" s="28"/>
      <c r="L166" s="28"/>
    </row>
    <row r="167" spans="1:12" ht="15" customHeight="1" x14ac:dyDescent="0.2">
      <c r="A167" s="28" t="s">
        <v>2128</v>
      </c>
      <c r="B167" s="28" t="s">
        <v>2051</v>
      </c>
      <c r="C167" s="28" t="s">
        <v>251</v>
      </c>
      <c r="D167" s="28" t="s">
        <v>1290</v>
      </c>
      <c r="E167" s="29" t="s">
        <v>67</v>
      </c>
      <c r="F167" s="29"/>
      <c r="G167" s="29"/>
      <c r="H167" s="28" t="s">
        <v>1291</v>
      </c>
      <c r="I167" s="28" t="s">
        <v>71</v>
      </c>
      <c r="J167" s="28" t="s">
        <v>72</v>
      </c>
      <c r="K167" s="28"/>
      <c r="L167" s="28"/>
    </row>
    <row r="168" spans="1:12" ht="15" customHeight="1" x14ac:dyDescent="0.2">
      <c r="A168" s="28" t="s">
        <v>2128</v>
      </c>
      <c r="B168" s="28" t="s">
        <v>2051</v>
      </c>
      <c r="C168" s="28" t="s">
        <v>1412</v>
      </c>
      <c r="D168" s="28" t="s">
        <v>1413</v>
      </c>
      <c r="E168" s="29"/>
      <c r="F168" s="29" t="s">
        <v>67</v>
      </c>
      <c r="G168" s="29" t="s">
        <v>67</v>
      </c>
      <c r="H168" s="28" t="s">
        <v>1414</v>
      </c>
      <c r="I168" s="28" t="s">
        <v>71</v>
      </c>
      <c r="J168" s="28" t="s">
        <v>72</v>
      </c>
      <c r="K168" s="28"/>
      <c r="L168" s="28"/>
    </row>
    <row r="169" spans="1:12" ht="21.75" customHeight="1" x14ac:dyDescent="0.2">
      <c r="A169" s="28" t="s">
        <v>2128</v>
      </c>
      <c r="B169" s="28" t="s">
        <v>2051</v>
      </c>
      <c r="C169" s="28" t="s">
        <v>1417</v>
      </c>
      <c r="D169" s="28" t="s">
        <v>1418</v>
      </c>
      <c r="E169" s="29" t="s">
        <v>67</v>
      </c>
      <c r="F169" s="29" t="s">
        <v>67</v>
      </c>
      <c r="G169" s="29" t="s">
        <v>67</v>
      </c>
      <c r="H169" s="28" t="s">
        <v>1419</v>
      </c>
      <c r="I169" s="28" t="s">
        <v>71</v>
      </c>
      <c r="J169" s="28" t="s">
        <v>72</v>
      </c>
      <c r="K169" s="28"/>
      <c r="L169" s="28"/>
    </row>
    <row r="170" spans="1:12" ht="15" customHeight="1" x14ac:dyDescent="0.2">
      <c r="A170" s="28" t="s">
        <v>2128</v>
      </c>
      <c r="B170" s="28" t="s">
        <v>2051</v>
      </c>
      <c r="C170" s="28" t="s">
        <v>1422</v>
      </c>
      <c r="D170" s="28" t="s">
        <v>1423</v>
      </c>
      <c r="E170" s="29"/>
      <c r="F170" s="29" t="s">
        <v>67</v>
      </c>
      <c r="G170" s="29"/>
      <c r="H170" s="28" t="s">
        <v>1424</v>
      </c>
      <c r="I170" s="28" t="s">
        <v>71</v>
      </c>
      <c r="J170" s="28" t="s">
        <v>72</v>
      </c>
      <c r="K170" s="28"/>
      <c r="L170" s="28"/>
    </row>
    <row r="171" spans="1:12" ht="21.75" customHeight="1" x14ac:dyDescent="0.2">
      <c r="A171" s="28" t="s">
        <v>2128</v>
      </c>
      <c r="B171" s="28" t="s">
        <v>476</v>
      </c>
      <c r="C171" s="28" t="s">
        <v>235</v>
      </c>
      <c r="D171" s="28" t="s">
        <v>1587</v>
      </c>
      <c r="E171" s="29"/>
      <c r="F171" s="29"/>
      <c r="G171" s="29"/>
      <c r="H171" s="28" t="s">
        <v>1588</v>
      </c>
      <c r="I171" s="28" t="s">
        <v>71</v>
      </c>
      <c r="J171" s="28" t="s">
        <v>72</v>
      </c>
      <c r="K171" s="28"/>
      <c r="L171" s="28"/>
    </row>
    <row r="172" spans="1:12" ht="32.25" customHeight="1" x14ac:dyDescent="0.2">
      <c r="A172" s="28" t="s">
        <v>2128</v>
      </c>
      <c r="B172" s="28" t="s">
        <v>479</v>
      </c>
      <c r="C172" s="28" t="s">
        <v>1874</v>
      </c>
      <c r="D172" s="28" t="s">
        <v>1875</v>
      </c>
      <c r="E172" s="29"/>
      <c r="F172" s="29"/>
      <c r="G172" s="29"/>
      <c r="H172" s="28" t="s">
        <v>1876</v>
      </c>
      <c r="I172" s="28" t="s">
        <v>71</v>
      </c>
      <c r="J172" s="28" t="s">
        <v>72</v>
      </c>
      <c r="K172" s="28"/>
      <c r="L172" s="28"/>
    </row>
    <row r="173" spans="1:12" ht="21.75" customHeight="1" x14ac:dyDescent="0.2">
      <c r="A173" s="28" t="s">
        <v>2128</v>
      </c>
      <c r="B173" s="28" t="s">
        <v>484</v>
      </c>
      <c r="C173" s="28" t="s">
        <v>938</v>
      </c>
      <c r="D173" s="28" t="s">
        <v>1983</v>
      </c>
      <c r="E173" s="29"/>
      <c r="F173" s="29"/>
      <c r="G173" s="29"/>
      <c r="H173" s="28" t="s">
        <v>1984</v>
      </c>
      <c r="I173" s="28" t="s">
        <v>71</v>
      </c>
      <c r="J173" s="28" t="s">
        <v>72</v>
      </c>
      <c r="K173" s="28"/>
      <c r="L173" s="28"/>
    </row>
    <row r="174" spans="1:12" ht="21.75" customHeight="1" x14ac:dyDescent="0.2">
      <c r="A174" s="28" t="s">
        <v>2128</v>
      </c>
      <c r="B174" s="28" t="s">
        <v>493</v>
      </c>
      <c r="C174" s="28" t="s">
        <v>976</v>
      </c>
      <c r="D174" s="28" t="s">
        <v>2130</v>
      </c>
      <c r="E174" s="29" t="s">
        <v>67</v>
      </c>
      <c r="F174" s="29"/>
      <c r="G174" s="29"/>
      <c r="H174" s="28" t="s">
        <v>2131</v>
      </c>
      <c r="I174" s="28" t="s">
        <v>71</v>
      </c>
      <c r="J174" s="28" t="s">
        <v>72</v>
      </c>
      <c r="K174" s="28"/>
      <c r="L174" s="28"/>
    </row>
    <row r="175" spans="1:12" ht="21.75" customHeight="1" x14ac:dyDescent="0.2">
      <c r="A175" s="28" t="s">
        <v>2128</v>
      </c>
      <c r="B175" s="28" t="s">
        <v>493</v>
      </c>
      <c r="C175" s="28" t="s">
        <v>1304</v>
      </c>
      <c r="D175" s="28" t="s">
        <v>2132</v>
      </c>
      <c r="E175" s="29" t="s">
        <v>67</v>
      </c>
      <c r="F175" s="29" t="s">
        <v>67</v>
      </c>
      <c r="G175" s="29" t="s">
        <v>67</v>
      </c>
      <c r="H175" s="28" t="s">
        <v>2133</v>
      </c>
      <c r="I175" s="28" t="s">
        <v>71</v>
      </c>
      <c r="J175" s="28" t="s">
        <v>72</v>
      </c>
      <c r="K175" s="28"/>
      <c r="L175" s="28"/>
    </row>
    <row r="176" spans="1:12" ht="32.25" customHeight="1" x14ac:dyDescent="0.2">
      <c r="A176" s="28" t="s">
        <v>2128</v>
      </c>
      <c r="B176" s="28" t="s">
        <v>496</v>
      </c>
      <c r="C176" s="28" t="s">
        <v>596</v>
      </c>
      <c r="D176" s="28" t="s">
        <v>2134</v>
      </c>
      <c r="E176" s="29" t="s">
        <v>67</v>
      </c>
      <c r="F176" s="29" t="s">
        <v>67</v>
      </c>
      <c r="G176" s="29" t="s">
        <v>67</v>
      </c>
      <c r="H176" s="28" t="s">
        <v>2135</v>
      </c>
      <c r="I176" s="28" t="s">
        <v>71</v>
      </c>
      <c r="J176" s="28" t="s">
        <v>72</v>
      </c>
      <c r="K176" s="28"/>
      <c r="L176" s="28"/>
    </row>
    <row r="177" spans="1:12" ht="32.25" customHeight="1" x14ac:dyDescent="0.2">
      <c r="A177" s="28" t="s">
        <v>2128</v>
      </c>
      <c r="B177" s="28" t="s">
        <v>508</v>
      </c>
      <c r="C177" s="28" t="s">
        <v>203</v>
      </c>
      <c r="D177" s="28" t="s">
        <v>2136</v>
      </c>
      <c r="E177" s="29"/>
      <c r="F177" s="29"/>
      <c r="G177" s="29"/>
      <c r="H177" s="28" t="s">
        <v>2137</v>
      </c>
      <c r="I177" s="28" t="s">
        <v>71</v>
      </c>
      <c r="J177" s="28" t="s">
        <v>72</v>
      </c>
      <c r="K177" s="28"/>
      <c r="L177" s="28"/>
    </row>
    <row r="178" spans="1:12" ht="15" customHeight="1" x14ac:dyDescent="0.2">
      <c r="A178" s="6" t="s">
        <v>2138</v>
      </c>
      <c r="B178" s="6"/>
      <c r="C178" s="6"/>
      <c r="D178" s="6"/>
      <c r="E178" s="6"/>
      <c r="F178" s="6"/>
      <c r="G178" s="6"/>
      <c r="H178" s="6"/>
      <c r="I178" s="6"/>
      <c r="J178" s="6"/>
      <c r="K178" s="6"/>
      <c r="L178" s="6"/>
    </row>
    <row r="179" spans="1:12" ht="32.25" customHeight="1" x14ac:dyDescent="0.2">
      <c r="A179" s="28" t="s">
        <v>2139</v>
      </c>
      <c r="B179" s="28" t="s">
        <v>2050</v>
      </c>
      <c r="C179" s="28" t="s">
        <v>285</v>
      </c>
      <c r="D179" s="28" t="s">
        <v>286</v>
      </c>
      <c r="E179" s="29"/>
      <c r="F179" s="29"/>
      <c r="G179" s="29"/>
      <c r="H179" s="28" t="s">
        <v>287</v>
      </c>
      <c r="I179" s="28" t="s">
        <v>71</v>
      </c>
      <c r="J179" s="28" t="s">
        <v>72</v>
      </c>
      <c r="K179" s="28"/>
      <c r="L179" s="28"/>
    </row>
    <row r="180" spans="1:12" ht="21.75" customHeight="1" x14ac:dyDescent="0.2">
      <c r="A180" s="28" t="s">
        <v>2139</v>
      </c>
      <c r="B180" s="28" t="s">
        <v>2050</v>
      </c>
      <c r="C180" s="28" t="s">
        <v>289</v>
      </c>
      <c r="D180" s="28" t="s">
        <v>290</v>
      </c>
      <c r="E180" s="29"/>
      <c r="F180" s="29"/>
      <c r="G180" s="29"/>
      <c r="H180" s="28" t="s">
        <v>291</v>
      </c>
      <c r="I180" s="28" t="s">
        <v>71</v>
      </c>
      <c r="J180" s="28" t="s">
        <v>72</v>
      </c>
      <c r="K180" s="28"/>
      <c r="L180" s="28"/>
    </row>
    <row r="181" spans="1:12" ht="15" customHeight="1" x14ac:dyDescent="0.2">
      <c r="A181" s="28" t="s">
        <v>2139</v>
      </c>
      <c r="B181" s="28" t="s">
        <v>2050</v>
      </c>
      <c r="C181" s="28" t="s">
        <v>297</v>
      </c>
      <c r="D181" s="28" t="s">
        <v>298</v>
      </c>
      <c r="E181" s="29"/>
      <c r="F181" s="29"/>
      <c r="G181" s="29"/>
      <c r="H181" s="28" t="s">
        <v>299</v>
      </c>
      <c r="I181" s="28" t="s">
        <v>71</v>
      </c>
      <c r="J181" s="28" t="s">
        <v>72</v>
      </c>
      <c r="K181" s="28"/>
      <c r="L181" s="28"/>
    </row>
    <row r="182" spans="1:12" ht="32.25" customHeight="1" x14ac:dyDescent="0.2">
      <c r="A182" s="28" t="s">
        <v>2139</v>
      </c>
      <c r="B182" s="28" t="s">
        <v>461</v>
      </c>
      <c r="C182" s="28" t="s">
        <v>631</v>
      </c>
      <c r="D182" s="28" t="s">
        <v>632</v>
      </c>
      <c r="E182" s="29"/>
      <c r="F182" s="29"/>
      <c r="G182" s="29"/>
      <c r="H182" s="28" t="s">
        <v>634</v>
      </c>
      <c r="I182" s="28" t="s">
        <v>71</v>
      </c>
      <c r="J182" s="28" t="s">
        <v>72</v>
      </c>
      <c r="K182" s="28"/>
      <c r="L182" s="28"/>
    </row>
    <row r="183" spans="1:12" ht="32.25" customHeight="1" x14ac:dyDescent="0.2">
      <c r="A183" s="28" t="s">
        <v>2139</v>
      </c>
      <c r="B183" s="28" t="s">
        <v>461</v>
      </c>
      <c r="C183" s="28" t="s">
        <v>668</v>
      </c>
      <c r="D183" s="28" t="s">
        <v>669</v>
      </c>
      <c r="E183" s="29"/>
      <c r="F183" s="29"/>
      <c r="G183" s="29"/>
      <c r="H183" s="28" t="s">
        <v>671</v>
      </c>
      <c r="I183" s="28" t="s">
        <v>71</v>
      </c>
      <c r="J183" s="28" t="s">
        <v>72</v>
      </c>
      <c r="K183" s="28"/>
      <c r="L183" s="28"/>
    </row>
    <row r="184" spans="1:12" ht="32.25" customHeight="1" x14ac:dyDescent="0.2">
      <c r="A184" s="28" t="s">
        <v>2139</v>
      </c>
      <c r="B184" s="28" t="s">
        <v>2051</v>
      </c>
      <c r="C184" s="28" t="s">
        <v>285</v>
      </c>
      <c r="D184" s="28" t="s">
        <v>286</v>
      </c>
      <c r="E184" s="29"/>
      <c r="F184" s="29"/>
      <c r="G184" s="29"/>
      <c r="H184" s="28" t="s">
        <v>287</v>
      </c>
      <c r="I184" s="28" t="s">
        <v>71</v>
      </c>
      <c r="J184" s="28" t="s">
        <v>72</v>
      </c>
      <c r="K184" s="28"/>
      <c r="L184" s="28"/>
    </row>
    <row r="185" spans="1:12" ht="21.75" customHeight="1" x14ac:dyDescent="0.2">
      <c r="A185" s="28" t="s">
        <v>2139</v>
      </c>
      <c r="B185" s="28" t="s">
        <v>2051</v>
      </c>
      <c r="C185" s="28" t="s">
        <v>289</v>
      </c>
      <c r="D185" s="28" t="s">
        <v>290</v>
      </c>
      <c r="E185" s="29"/>
      <c r="F185" s="29"/>
      <c r="G185" s="29"/>
      <c r="H185" s="28" t="s">
        <v>1068</v>
      </c>
      <c r="I185" s="28" t="s">
        <v>71</v>
      </c>
      <c r="J185" s="28" t="s">
        <v>72</v>
      </c>
      <c r="K185" s="28"/>
      <c r="L185" s="28"/>
    </row>
    <row r="186" spans="1:12" ht="21.75" customHeight="1" x14ac:dyDescent="0.2">
      <c r="A186" s="28" t="s">
        <v>2139</v>
      </c>
      <c r="B186" s="28" t="s">
        <v>2051</v>
      </c>
      <c r="C186" s="28" t="s">
        <v>1230</v>
      </c>
      <c r="D186" s="28" t="s">
        <v>1231</v>
      </c>
      <c r="E186" s="29"/>
      <c r="F186" s="29"/>
      <c r="G186" s="29"/>
      <c r="H186" s="28" t="s">
        <v>1232</v>
      </c>
      <c r="I186" s="28" t="s">
        <v>71</v>
      </c>
      <c r="J186" s="28" t="s">
        <v>72</v>
      </c>
      <c r="K186" s="28"/>
      <c r="L186" s="28"/>
    </row>
    <row r="187" spans="1:12" ht="15" customHeight="1" x14ac:dyDescent="0.2">
      <c r="A187" s="28" t="s">
        <v>2139</v>
      </c>
      <c r="B187" s="28" t="s">
        <v>476</v>
      </c>
      <c r="C187" s="28" t="s">
        <v>1549</v>
      </c>
      <c r="D187" s="28" t="s">
        <v>1550</v>
      </c>
      <c r="E187" s="29"/>
      <c r="F187" s="29"/>
      <c r="G187" s="29"/>
      <c r="H187" s="28" t="s">
        <v>1551</v>
      </c>
      <c r="I187" s="28" t="s">
        <v>71</v>
      </c>
      <c r="J187" s="28" t="s">
        <v>72</v>
      </c>
      <c r="K187" s="28"/>
      <c r="L187" s="28"/>
    </row>
    <row r="188" spans="1:12" ht="15" customHeight="1" x14ac:dyDescent="0.2">
      <c r="A188" s="28" t="s">
        <v>2139</v>
      </c>
      <c r="B188" s="28" t="s">
        <v>476</v>
      </c>
      <c r="C188" s="28" t="s">
        <v>208</v>
      </c>
      <c r="D188" s="28" t="s">
        <v>1572</v>
      </c>
      <c r="E188" s="29"/>
      <c r="F188" s="29"/>
      <c r="G188" s="29"/>
      <c r="H188" s="28" t="s">
        <v>1573</v>
      </c>
      <c r="I188" s="28" t="s">
        <v>71</v>
      </c>
      <c r="J188" s="28" t="s">
        <v>72</v>
      </c>
      <c r="K188" s="28"/>
      <c r="L188" s="28"/>
    </row>
    <row r="189" spans="1:12" ht="21.75" customHeight="1" x14ac:dyDescent="0.2">
      <c r="A189" s="28" t="s">
        <v>2139</v>
      </c>
      <c r="B189" s="28" t="s">
        <v>476</v>
      </c>
      <c r="C189" s="28" t="s">
        <v>225</v>
      </c>
      <c r="D189" s="28" t="s">
        <v>268</v>
      </c>
      <c r="E189" s="29"/>
      <c r="F189" s="29"/>
      <c r="G189" s="29"/>
      <c r="H189" s="28" t="s">
        <v>1582</v>
      </c>
      <c r="I189" s="28" t="s">
        <v>71</v>
      </c>
      <c r="J189" s="28" t="s">
        <v>72</v>
      </c>
      <c r="K189" s="28"/>
      <c r="L189" s="28"/>
    </row>
    <row r="190" spans="1:12" ht="21.75" customHeight="1" x14ac:dyDescent="0.2">
      <c r="A190" s="28" t="s">
        <v>2139</v>
      </c>
      <c r="B190" s="28" t="s">
        <v>476</v>
      </c>
      <c r="C190" s="28" t="s">
        <v>265</v>
      </c>
      <c r="D190" s="28" t="s">
        <v>1614</v>
      </c>
      <c r="E190" s="29"/>
      <c r="F190" s="29"/>
      <c r="G190" s="29"/>
      <c r="H190" s="28" t="s">
        <v>1615</v>
      </c>
      <c r="I190" s="28" t="s">
        <v>71</v>
      </c>
      <c r="J190" s="28" t="s">
        <v>72</v>
      </c>
      <c r="K190" s="28"/>
      <c r="L190" s="28"/>
    </row>
    <row r="191" spans="1:12" ht="21.75" customHeight="1" x14ac:dyDescent="0.2">
      <c r="A191" s="28" t="s">
        <v>2139</v>
      </c>
      <c r="B191" s="28" t="s">
        <v>476</v>
      </c>
      <c r="C191" s="28" t="s">
        <v>275</v>
      </c>
      <c r="D191" s="28" t="s">
        <v>1642</v>
      </c>
      <c r="E191" s="29"/>
      <c r="F191" s="29"/>
      <c r="G191" s="29"/>
      <c r="H191" s="28" t="s">
        <v>1643</v>
      </c>
      <c r="I191" s="28" t="s">
        <v>71</v>
      </c>
      <c r="J191" s="28" t="s">
        <v>72</v>
      </c>
      <c r="K191" s="28"/>
      <c r="L191" s="28"/>
    </row>
    <row r="192" spans="1:12" ht="21.75" customHeight="1" x14ac:dyDescent="0.2">
      <c r="A192" s="28" t="s">
        <v>2139</v>
      </c>
      <c r="B192" s="28" t="s">
        <v>476</v>
      </c>
      <c r="C192" s="28" t="s">
        <v>1647</v>
      </c>
      <c r="D192" s="28" t="s">
        <v>1648</v>
      </c>
      <c r="E192" s="29"/>
      <c r="F192" s="29"/>
      <c r="G192" s="29"/>
      <c r="H192" s="28" t="s">
        <v>1649</v>
      </c>
      <c r="I192" s="28" t="s">
        <v>71</v>
      </c>
      <c r="J192" s="28" t="s">
        <v>72</v>
      </c>
      <c r="K192" s="28"/>
      <c r="L192" s="28"/>
    </row>
    <row r="193" spans="1:12" ht="21.75" customHeight="1" x14ac:dyDescent="0.2">
      <c r="A193" s="28" t="s">
        <v>2139</v>
      </c>
      <c r="B193" s="28" t="s">
        <v>476</v>
      </c>
      <c r="C193" s="28" t="s">
        <v>1665</v>
      </c>
      <c r="D193" s="28" t="s">
        <v>1666</v>
      </c>
      <c r="E193" s="29"/>
      <c r="F193" s="29" t="s">
        <v>67</v>
      </c>
      <c r="G193" s="29"/>
      <c r="H193" s="28" t="s">
        <v>1667</v>
      </c>
      <c r="I193" s="28" t="s">
        <v>71</v>
      </c>
      <c r="J193" s="28" t="s">
        <v>72</v>
      </c>
      <c r="K193" s="28"/>
      <c r="L193" s="28"/>
    </row>
    <row r="194" spans="1:12" ht="21.75" customHeight="1" x14ac:dyDescent="0.2">
      <c r="A194" s="28" t="s">
        <v>2139</v>
      </c>
      <c r="B194" s="28" t="s">
        <v>476</v>
      </c>
      <c r="C194" s="28" t="s">
        <v>1671</v>
      </c>
      <c r="D194" s="28" t="s">
        <v>1672</v>
      </c>
      <c r="E194" s="29"/>
      <c r="F194" s="29"/>
      <c r="G194" s="29"/>
      <c r="H194" s="28" t="s">
        <v>1673</v>
      </c>
      <c r="I194" s="28" t="s">
        <v>71</v>
      </c>
      <c r="J194" s="28" t="s">
        <v>72</v>
      </c>
      <c r="K194" s="28"/>
      <c r="L194" s="28"/>
    </row>
    <row r="195" spans="1:12" ht="21.75" customHeight="1" x14ac:dyDescent="0.2">
      <c r="A195" s="28" t="s">
        <v>2139</v>
      </c>
      <c r="B195" s="28" t="s">
        <v>476</v>
      </c>
      <c r="C195" s="28" t="s">
        <v>1677</v>
      </c>
      <c r="D195" s="28" t="s">
        <v>1678</v>
      </c>
      <c r="E195" s="29"/>
      <c r="F195" s="29"/>
      <c r="G195" s="29"/>
      <c r="H195" s="28" t="s">
        <v>1679</v>
      </c>
      <c r="I195" s="28" t="s">
        <v>71</v>
      </c>
      <c r="J195" s="28" t="s">
        <v>72</v>
      </c>
      <c r="K195" s="28"/>
      <c r="L195" s="28"/>
    </row>
    <row r="196" spans="1:12" ht="21.75" customHeight="1" x14ac:dyDescent="0.2">
      <c r="A196" s="28" t="s">
        <v>2139</v>
      </c>
      <c r="B196" s="28" t="s">
        <v>476</v>
      </c>
      <c r="C196" s="28" t="s">
        <v>1682</v>
      </c>
      <c r="D196" s="28" t="s">
        <v>1683</v>
      </c>
      <c r="E196" s="29"/>
      <c r="F196" s="29"/>
      <c r="G196" s="29"/>
      <c r="H196" s="28" t="s">
        <v>1684</v>
      </c>
      <c r="I196" s="28" t="s">
        <v>71</v>
      </c>
      <c r="J196" s="28" t="s">
        <v>72</v>
      </c>
      <c r="K196" s="28"/>
      <c r="L196" s="28"/>
    </row>
    <row r="197" spans="1:12" ht="15" customHeight="1" x14ac:dyDescent="0.2">
      <c r="A197" s="28" t="s">
        <v>2139</v>
      </c>
      <c r="B197" s="28" t="s">
        <v>476</v>
      </c>
      <c r="C197" s="28" t="s">
        <v>1721</v>
      </c>
      <c r="D197" s="28" t="s">
        <v>1722</v>
      </c>
      <c r="E197" s="29"/>
      <c r="F197" s="29"/>
      <c r="G197" s="29"/>
      <c r="H197" s="28" t="s">
        <v>1723</v>
      </c>
      <c r="I197" s="28" t="s">
        <v>71</v>
      </c>
      <c r="J197" s="28" t="s">
        <v>72</v>
      </c>
      <c r="K197" s="28"/>
      <c r="L197" s="28"/>
    </row>
    <row r="198" spans="1:12" ht="15" customHeight="1" x14ac:dyDescent="0.2">
      <c r="A198" s="28" t="s">
        <v>2139</v>
      </c>
      <c r="B198" s="28" t="s">
        <v>476</v>
      </c>
      <c r="C198" s="28" t="s">
        <v>1727</v>
      </c>
      <c r="D198" s="28" t="s">
        <v>1728</v>
      </c>
      <c r="E198" s="29"/>
      <c r="F198" s="29"/>
      <c r="G198" s="29"/>
      <c r="H198" s="28" t="s">
        <v>1729</v>
      </c>
      <c r="I198" s="28" t="s">
        <v>71</v>
      </c>
      <c r="J198" s="28" t="s">
        <v>72</v>
      </c>
      <c r="K198" s="28"/>
      <c r="L198" s="28"/>
    </row>
    <row r="199" spans="1:12" ht="21.75" customHeight="1" x14ac:dyDescent="0.2">
      <c r="A199" s="28" t="s">
        <v>2139</v>
      </c>
      <c r="B199" s="28" t="s">
        <v>2052</v>
      </c>
      <c r="C199" s="28" t="s">
        <v>230</v>
      </c>
      <c r="D199" s="28" t="s">
        <v>2140</v>
      </c>
      <c r="E199" s="29"/>
      <c r="F199" s="29"/>
      <c r="G199" s="29"/>
      <c r="H199" s="28" t="s">
        <v>2141</v>
      </c>
      <c r="I199" s="28" t="s">
        <v>71</v>
      </c>
      <c r="J199" s="28" t="s">
        <v>72</v>
      </c>
      <c r="K199" s="28"/>
      <c r="L199" s="28"/>
    </row>
    <row r="200" spans="1:12" ht="21.75" customHeight="1" x14ac:dyDescent="0.2">
      <c r="A200" s="28" t="s">
        <v>2139</v>
      </c>
      <c r="B200" s="28" t="s">
        <v>493</v>
      </c>
      <c r="C200" s="28" t="s">
        <v>926</v>
      </c>
      <c r="D200" s="28" t="s">
        <v>2142</v>
      </c>
      <c r="E200" s="29"/>
      <c r="F200" s="29"/>
      <c r="G200" s="29"/>
      <c r="H200" s="28" t="s">
        <v>2143</v>
      </c>
      <c r="I200" s="28" t="s">
        <v>71</v>
      </c>
      <c r="J200" s="28" t="s">
        <v>72</v>
      </c>
      <c r="K200" s="28"/>
      <c r="L200" s="28"/>
    </row>
    <row r="201" spans="1:12" ht="15" customHeight="1" x14ac:dyDescent="0.2">
      <c r="A201" s="6" t="s">
        <v>2144</v>
      </c>
      <c r="B201" s="6"/>
      <c r="C201" s="6"/>
      <c r="D201" s="6"/>
      <c r="E201" s="6"/>
      <c r="F201" s="6"/>
      <c r="G201" s="6"/>
      <c r="H201" s="6"/>
      <c r="I201" s="6"/>
      <c r="J201" s="6"/>
      <c r="K201" s="6"/>
      <c r="L201" s="6"/>
    </row>
    <row r="202" spans="1:12" ht="21.75" customHeight="1" x14ac:dyDescent="0.2">
      <c r="A202" s="28" t="s">
        <v>2145</v>
      </c>
      <c r="B202" s="28" t="s">
        <v>2050</v>
      </c>
      <c r="C202" s="28" t="s">
        <v>154</v>
      </c>
      <c r="D202" s="28" t="s">
        <v>155</v>
      </c>
      <c r="E202" s="29" t="s">
        <v>67</v>
      </c>
      <c r="F202" s="29" t="s">
        <v>67</v>
      </c>
      <c r="G202" s="29" t="s">
        <v>67</v>
      </c>
      <c r="H202" s="28" t="s">
        <v>156</v>
      </c>
      <c r="I202" s="28" t="s">
        <v>71</v>
      </c>
      <c r="J202" s="28" t="s">
        <v>72</v>
      </c>
      <c r="K202" s="28"/>
      <c r="L202" s="28"/>
    </row>
    <row r="203" spans="1:12" ht="21.75" customHeight="1" x14ac:dyDescent="0.2">
      <c r="A203" s="28" t="s">
        <v>2145</v>
      </c>
      <c r="B203" s="28" t="s">
        <v>461</v>
      </c>
      <c r="C203" s="28" t="s">
        <v>554</v>
      </c>
      <c r="D203" s="28" t="s">
        <v>555</v>
      </c>
      <c r="E203" s="29"/>
      <c r="F203" s="29"/>
      <c r="G203" s="29"/>
      <c r="H203" s="28" t="s">
        <v>557</v>
      </c>
      <c r="I203" s="28" t="s">
        <v>71</v>
      </c>
      <c r="J203" s="28" t="s">
        <v>72</v>
      </c>
      <c r="K203" s="28"/>
      <c r="L203" s="28"/>
    </row>
    <row r="204" spans="1:12" ht="32.25" customHeight="1" x14ac:dyDescent="0.2">
      <c r="A204" s="28" t="s">
        <v>2145</v>
      </c>
      <c r="B204" s="28" t="s">
        <v>461</v>
      </c>
      <c r="C204" s="28" t="s">
        <v>723</v>
      </c>
      <c r="D204" s="28" t="s">
        <v>724</v>
      </c>
      <c r="E204" s="29" t="s">
        <v>67</v>
      </c>
      <c r="F204" s="29" t="s">
        <v>67</v>
      </c>
      <c r="G204" s="29" t="s">
        <v>67</v>
      </c>
      <c r="H204" s="28" t="s">
        <v>2146</v>
      </c>
      <c r="I204" s="28" t="s">
        <v>71</v>
      </c>
      <c r="J204" s="28" t="s">
        <v>72</v>
      </c>
      <c r="K204" s="28"/>
      <c r="L204" s="28"/>
    </row>
    <row r="205" spans="1:12" ht="21.75" customHeight="1" x14ac:dyDescent="0.2">
      <c r="A205" s="28" t="s">
        <v>2145</v>
      </c>
      <c r="B205" s="28" t="s">
        <v>461</v>
      </c>
      <c r="C205" s="28" t="s">
        <v>731</v>
      </c>
      <c r="D205" s="28" t="s">
        <v>730</v>
      </c>
      <c r="E205" s="29"/>
      <c r="F205" s="29"/>
      <c r="G205" s="29"/>
      <c r="H205" s="28" t="s">
        <v>733</v>
      </c>
      <c r="I205" s="28" t="s">
        <v>71</v>
      </c>
      <c r="J205" s="28" t="s">
        <v>72</v>
      </c>
      <c r="K205" s="28"/>
      <c r="L205" s="28"/>
    </row>
    <row r="206" spans="1:12" ht="21.75" customHeight="1" x14ac:dyDescent="0.2">
      <c r="A206" s="28" t="s">
        <v>2145</v>
      </c>
      <c r="B206" s="28" t="s">
        <v>2051</v>
      </c>
      <c r="C206" s="28" t="s">
        <v>1177</v>
      </c>
      <c r="D206" s="28" t="s">
        <v>1178</v>
      </c>
      <c r="E206" s="29" t="s">
        <v>67</v>
      </c>
      <c r="F206" s="29" t="s">
        <v>67</v>
      </c>
      <c r="G206" s="29" t="s">
        <v>67</v>
      </c>
      <c r="H206" s="28" t="s">
        <v>1179</v>
      </c>
      <c r="I206" s="28" t="s">
        <v>71</v>
      </c>
      <c r="J206" s="28" t="s">
        <v>72</v>
      </c>
      <c r="K206" s="28"/>
      <c r="L206" s="28"/>
    </row>
    <row r="207" spans="1:12" ht="21.75" customHeight="1" x14ac:dyDescent="0.2">
      <c r="A207" s="28" t="s">
        <v>2145</v>
      </c>
      <c r="B207" s="28" t="s">
        <v>2051</v>
      </c>
      <c r="C207" s="28" t="s">
        <v>1182</v>
      </c>
      <c r="D207" s="28" t="s">
        <v>1183</v>
      </c>
      <c r="E207" s="29" t="s">
        <v>67</v>
      </c>
      <c r="F207" s="29" t="s">
        <v>67</v>
      </c>
      <c r="G207" s="29" t="s">
        <v>67</v>
      </c>
      <c r="H207" s="28" t="s">
        <v>1184</v>
      </c>
      <c r="I207" s="28" t="s">
        <v>71</v>
      </c>
      <c r="J207" s="28" t="s">
        <v>72</v>
      </c>
      <c r="K207" s="28"/>
      <c r="L207" s="28"/>
    </row>
    <row r="208" spans="1:12" ht="15" customHeight="1" x14ac:dyDescent="0.2">
      <c r="A208" s="28" t="s">
        <v>2145</v>
      </c>
      <c r="B208" s="28" t="s">
        <v>2051</v>
      </c>
      <c r="C208" s="28" t="s">
        <v>1187</v>
      </c>
      <c r="D208" s="28" t="s">
        <v>1188</v>
      </c>
      <c r="E208" s="29" t="s">
        <v>67</v>
      </c>
      <c r="F208" s="29" t="s">
        <v>67</v>
      </c>
      <c r="G208" s="29" t="s">
        <v>67</v>
      </c>
      <c r="H208" s="28" t="s">
        <v>1189</v>
      </c>
      <c r="I208" s="28" t="s">
        <v>71</v>
      </c>
      <c r="J208" s="28" t="s">
        <v>72</v>
      </c>
      <c r="K208" s="28"/>
      <c r="L208" s="28"/>
    </row>
    <row r="209" spans="1:12" ht="15" customHeight="1" x14ac:dyDescent="0.2">
      <c r="A209" s="28" t="s">
        <v>2145</v>
      </c>
      <c r="B209" s="28" t="s">
        <v>2051</v>
      </c>
      <c r="C209" s="28" t="s">
        <v>1192</v>
      </c>
      <c r="D209" s="28" t="s">
        <v>1193</v>
      </c>
      <c r="E209" s="29"/>
      <c r="F209" s="29" t="s">
        <v>67</v>
      </c>
      <c r="G209" s="29"/>
      <c r="H209" s="28" t="s">
        <v>1194</v>
      </c>
      <c r="I209" s="28" t="s">
        <v>71</v>
      </c>
      <c r="J209" s="28" t="s">
        <v>72</v>
      </c>
      <c r="K209" s="28"/>
      <c r="L209" s="28"/>
    </row>
    <row r="210" spans="1:12" ht="15" customHeight="1" x14ac:dyDescent="0.2">
      <c r="A210" s="28" t="s">
        <v>2145</v>
      </c>
      <c r="B210" s="28" t="s">
        <v>2051</v>
      </c>
      <c r="C210" s="28" t="s">
        <v>1271</v>
      </c>
      <c r="D210" s="28" t="s">
        <v>1272</v>
      </c>
      <c r="E210" s="29"/>
      <c r="F210" s="29" t="s">
        <v>67</v>
      </c>
      <c r="G210" s="29"/>
      <c r="H210" s="28" t="s">
        <v>1273</v>
      </c>
      <c r="I210" s="28" t="s">
        <v>71</v>
      </c>
      <c r="J210" s="28" t="s">
        <v>72</v>
      </c>
      <c r="K210" s="28"/>
      <c r="L210" s="28"/>
    </row>
    <row r="211" spans="1:12" ht="32.25" customHeight="1" x14ac:dyDescent="0.2">
      <c r="A211" s="28" t="s">
        <v>2145</v>
      </c>
      <c r="B211" s="28" t="s">
        <v>476</v>
      </c>
      <c r="C211" s="28" t="s">
        <v>1362</v>
      </c>
      <c r="D211" s="28" t="s">
        <v>1634</v>
      </c>
      <c r="E211" s="29" t="s">
        <v>67</v>
      </c>
      <c r="F211" s="29" t="s">
        <v>67</v>
      </c>
      <c r="G211" s="29"/>
      <c r="H211" s="28" t="s">
        <v>1635</v>
      </c>
      <c r="I211" s="28" t="s">
        <v>71</v>
      </c>
      <c r="J211" s="28" t="s">
        <v>72</v>
      </c>
      <c r="K211" s="28"/>
      <c r="L211" s="28"/>
    </row>
    <row r="212" spans="1:12" ht="32.25" customHeight="1" x14ac:dyDescent="0.2">
      <c r="A212" s="28" t="s">
        <v>2145</v>
      </c>
      <c r="B212" s="28" t="s">
        <v>479</v>
      </c>
      <c r="C212" s="28" t="s">
        <v>1851</v>
      </c>
      <c r="D212" s="28" t="s">
        <v>1852</v>
      </c>
      <c r="E212" s="29" t="s">
        <v>67</v>
      </c>
      <c r="F212" s="29" t="s">
        <v>67</v>
      </c>
      <c r="G212" s="29" t="s">
        <v>67</v>
      </c>
      <c r="H212" s="28" t="s">
        <v>1853</v>
      </c>
      <c r="I212" s="28" t="s">
        <v>71</v>
      </c>
      <c r="J212" s="28" t="s">
        <v>72</v>
      </c>
      <c r="K212" s="28"/>
      <c r="L212" s="28"/>
    </row>
    <row r="213" spans="1:12" ht="32.25" customHeight="1" x14ac:dyDescent="0.2">
      <c r="A213" s="28" t="s">
        <v>2145</v>
      </c>
      <c r="B213" s="28" t="s">
        <v>2052</v>
      </c>
      <c r="C213" s="28" t="s">
        <v>748</v>
      </c>
      <c r="D213" s="28" t="s">
        <v>2147</v>
      </c>
      <c r="E213" s="29"/>
      <c r="F213" s="29"/>
      <c r="G213" s="29"/>
      <c r="H213" s="28" t="s">
        <v>2148</v>
      </c>
      <c r="I213" s="28" t="s">
        <v>71</v>
      </c>
      <c r="J213" s="28" t="s">
        <v>72</v>
      </c>
      <c r="K213" s="28"/>
      <c r="L213" s="28"/>
    </row>
    <row r="214" spans="1:12" ht="21.75" customHeight="1" x14ac:dyDescent="0.2">
      <c r="A214" s="28" t="s">
        <v>2145</v>
      </c>
      <c r="B214" s="28" t="s">
        <v>2052</v>
      </c>
      <c r="C214" s="28" t="s">
        <v>758</v>
      </c>
      <c r="D214" s="28" t="s">
        <v>2149</v>
      </c>
      <c r="E214" s="29"/>
      <c r="F214" s="29" t="s">
        <v>67</v>
      </c>
      <c r="G214" s="29"/>
      <c r="H214" s="28" t="s">
        <v>2150</v>
      </c>
      <c r="I214" s="28" t="s">
        <v>71</v>
      </c>
      <c r="J214" s="28" t="s">
        <v>72</v>
      </c>
      <c r="K214" s="28"/>
      <c r="L214" s="28"/>
    </row>
    <row r="215" spans="1:12" ht="21.75" customHeight="1" x14ac:dyDescent="0.2">
      <c r="A215" s="28" t="s">
        <v>2145</v>
      </c>
      <c r="B215" s="28" t="s">
        <v>493</v>
      </c>
      <c r="C215" s="28" t="s">
        <v>934</v>
      </c>
      <c r="D215" s="28" t="s">
        <v>2151</v>
      </c>
      <c r="E215" s="29" t="s">
        <v>67</v>
      </c>
      <c r="F215" s="29" t="s">
        <v>67</v>
      </c>
      <c r="G215" s="29" t="s">
        <v>67</v>
      </c>
      <c r="H215" s="28" t="s">
        <v>2152</v>
      </c>
      <c r="I215" s="28" t="s">
        <v>71</v>
      </c>
      <c r="J215" s="28" t="s">
        <v>72</v>
      </c>
      <c r="K215" s="28"/>
      <c r="L215" s="28"/>
    </row>
    <row r="216" spans="1:12" ht="32.25" customHeight="1" x14ac:dyDescent="0.2">
      <c r="A216" s="28" t="s">
        <v>2145</v>
      </c>
      <c r="B216" s="28" t="s">
        <v>493</v>
      </c>
      <c r="C216" s="28" t="s">
        <v>1309</v>
      </c>
      <c r="D216" s="28" t="s">
        <v>2153</v>
      </c>
      <c r="E216" s="29" t="s">
        <v>67</v>
      </c>
      <c r="F216" s="29" t="s">
        <v>67</v>
      </c>
      <c r="G216" s="29" t="s">
        <v>67</v>
      </c>
      <c r="H216" s="28" t="s">
        <v>2154</v>
      </c>
      <c r="I216" s="28" t="s">
        <v>71</v>
      </c>
      <c r="J216" s="28" t="s">
        <v>72</v>
      </c>
      <c r="K216" s="28"/>
      <c r="L216" s="28"/>
    </row>
    <row r="217" spans="1:12" ht="32.25" customHeight="1" x14ac:dyDescent="0.2">
      <c r="A217" s="28" t="s">
        <v>2145</v>
      </c>
      <c r="B217" s="28" t="s">
        <v>496</v>
      </c>
      <c r="C217" s="28" t="s">
        <v>613</v>
      </c>
      <c r="D217" s="28" t="s">
        <v>2155</v>
      </c>
      <c r="E217" s="29" t="s">
        <v>67</v>
      </c>
      <c r="F217" s="29" t="s">
        <v>67</v>
      </c>
      <c r="G217" s="29" t="s">
        <v>67</v>
      </c>
      <c r="H217" s="28" t="s">
        <v>2156</v>
      </c>
      <c r="I217" s="28" t="s">
        <v>71</v>
      </c>
      <c r="J217" s="28" t="s">
        <v>72</v>
      </c>
      <c r="K217" s="28"/>
      <c r="L217" s="28"/>
    </row>
    <row r="218" spans="1:12" ht="32.25" customHeight="1" x14ac:dyDescent="0.2">
      <c r="A218" s="28" t="s">
        <v>2145</v>
      </c>
      <c r="B218" s="28" t="s">
        <v>496</v>
      </c>
      <c r="C218" s="28" t="s">
        <v>618</v>
      </c>
      <c r="D218" s="28" t="s">
        <v>252</v>
      </c>
      <c r="E218" s="29"/>
      <c r="F218" s="29"/>
      <c r="G218" s="29"/>
      <c r="H218" s="28" t="s">
        <v>2157</v>
      </c>
      <c r="I218" s="28" t="s">
        <v>71</v>
      </c>
      <c r="J218" s="28" t="s">
        <v>72</v>
      </c>
      <c r="K218" s="28"/>
      <c r="L218" s="28"/>
    </row>
    <row r="219" spans="1:12" ht="42.75" customHeight="1" x14ac:dyDescent="0.2">
      <c r="A219" s="28" t="s">
        <v>2145</v>
      </c>
      <c r="B219" s="28" t="s">
        <v>496</v>
      </c>
      <c r="C219" s="28" t="s">
        <v>636</v>
      </c>
      <c r="D219" s="28" t="s">
        <v>2158</v>
      </c>
      <c r="E219" s="29" t="s">
        <v>67</v>
      </c>
      <c r="F219" s="29" t="s">
        <v>67</v>
      </c>
      <c r="G219" s="29" t="s">
        <v>67</v>
      </c>
      <c r="H219" s="28" t="s">
        <v>2159</v>
      </c>
      <c r="I219" s="28" t="s">
        <v>71</v>
      </c>
      <c r="J219" s="28" t="s">
        <v>72</v>
      </c>
      <c r="K219" s="28"/>
      <c r="L219" s="28"/>
    </row>
    <row r="220" spans="1:12" ht="32.25" customHeight="1" x14ac:dyDescent="0.2">
      <c r="A220" s="28" t="s">
        <v>2145</v>
      </c>
      <c r="B220" s="28" t="s">
        <v>496</v>
      </c>
      <c r="C220" s="28" t="s">
        <v>641</v>
      </c>
      <c r="D220" s="28" t="s">
        <v>2160</v>
      </c>
      <c r="E220" s="29" t="s">
        <v>67</v>
      </c>
      <c r="F220" s="29" t="s">
        <v>67</v>
      </c>
      <c r="G220" s="29" t="s">
        <v>67</v>
      </c>
      <c r="H220" s="28" t="s">
        <v>2161</v>
      </c>
      <c r="I220" s="28" t="s">
        <v>71</v>
      </c>
      <c r="J220" s="28" t="s">
        <v>72</v>
      </c>
      <c r="K220" s="28"/>
      <c r="L220" s="28"/>
    </row>
    <row r="221" spans="1:12" ht="32.25" customHeight="1" x14ac:dyDescent="0.2">
      <c r="A221" s="28" t="s">
        <v>2145</v>
      </c>
      <c r="B221" s="28" t="s">
        <v>496</v>
      </c>
      <c r="C221" s="28" t="s">
        <v>646</v>
      </c>
      <c r="D221" s="28" t="s">
        <v>2162</v>
      </c>
      <c r="E221" s="29" t="s">
        <v>67</v>
      </c>
      <c r="F221" s="29" t="s">
        <v>67</v>
      </c>
      <c r="G221" s="29" t="s">
        <v>67</v>
      </c>
      <c r="H221" s="28" t="s">
        <v>2163</v>
      </c>
      <c r="I221" s="28" t="s">
        <v>71</v>
      </c>
      <c r="J221" s="28" t="s">
        <v>72</v>
      </c>
      <c r="K221" s="28"/>
      <c r="L221" s="28"/>
    </row>
    <row r="222" spans="1:12" ht="21.75" customHeight="1" x14ac:dyDescent="0.2">
      <c r="A222" s="28" t="s">
        <v>2145</v>
      </c>
      <c r="B222" s="28" t="s">
        <v>496</v>
      </c>
      <c r="C222" s="28" t="s">
        <v>668</v>
      </c>
      <c r="D222" s="28" t="s">
        <v>2164</v>
      </c>
      <c r="E222" s="29"/>
      <c r="F222" s="29"/>
      <c r="G222" s="29"/>
      <c r="H222" s="28" t="s">
        <v>2165</v>
      </c>
      <c r="I222" s="28" t="s">
        <v>71</v>
      </c>
      <c r="J222" s="28" t="s">
        <v>72</v>
      </c>
      <c r="K222" s="28"/>
      <c r="L222" s="28"/>
    </row>
    <row r="223" spans="1:12" ht="15" customHeight="1" x14ac:dyDescent="0.2">
      <c r="A223" s="6" t="s">
        <v>2166</v>
      </c>
      <c r="B223" s="6"/>
      <c r="C223" s="6"/>
      <c r="D223" s="6"/>
      <c r="E223" s="6"/>
      <c r="F223" s="6"/>
      <c r="G223" s="6"/>
      <c r="H223" s="6"/>
      <c r="I223" s="6"/>
      <c r="J223" s="6"/>
      <c r="K223" s="6"/>
      <c r="L223" s="6"/>
    </row>
    <row r="224" spans="1:12" ht="32.25" customHeight="1" x14ac:dyDescent="0.2">
      <c r="A224" s="28" t="s">
        <v>2167</v>
      </c>
      <c r="B224" s="28" t="s">
        <v>2050</v>
      </c>
      <c r="C224" s="28" t="s">
        <v>63</v>
      </c>
      <c r="D224" s="28" t="s">
        <v>65</v>
      </c>
      <c r="E224" s="29" t="s">
        <v>67</v>
      </c>
      <c r="F224" s="29" t="s">
        <v>67</v>
      </c>
      <c r="G224" s="29" t="s">
        <v>67</v>
      </c>
      <c r="H224" s="28" t="s">
        <v>66</v>
      </c>
      <c r="I224" s="28" t="s">
        <v>71</v>
      </c>
      <c r="J224" s="28" t="s">
        <v>72</v>
      </c>
      <c r="K224" s="28"/>
      <c r="L224" s="28"/>
    </row>
    <row r="225" spans="1:12" ht="21.75" customHeight="1" x14ac:dyDescent="0.2">
      <c r="A225" s="28" t="s">
        <v>2167</v>
      </c>
      <c r="B225" s="28" t="s">
        <v>2050</v>
      </c>
      <c r="C225" s="28" t="s">
        <v>78</v>
      </c>
      <c r="D225" s="28" t="s">
        <v>79</v>
      </c>
      <c r="E225" s="29" t="s">
        <v>67</v>
      </c>
      <c r="F225" s="29" t="s">
        <v>67</v>
      </c>
      <c r="G225" s="29" t="s">
        <v>67</v>
      </c>
      <c r="H225" s="28" t="s">
        <v>80</v>
      </c>
      <c r="I225" s="28" t="s">
        <v>71</v>
      </c>
      <c r="J225" s="28" t="s">
        <v>72</v>
      </c>
      <c r="K225" s="28"/>
      <c r="L225" s="28"/>
    </row>
    <row r="226" spans="1:12" ht="15" customHeight="1" x14ac:dyDescent="0.2">
      <c r="A226" s="28" t="s">
        <v>2167</v>
      </c>
      <c r="B226" s="28" t="s">
        <v>2050</v>
      </c>
      <c r="C226" s="28" t="s">
        <v>261</v>
      </c>
      <c r="D226" s="28" t="s">
        <v>262</v>
      </c>
      <c r="E226" s="29"/>
      <c r="F226" s="29"/>
      <c r="G226" s="29"/>
      <c r="H226" s="28" t="s">
        <v>263</v>
      </c>
      <c r="I226" s="28" t="s">
        <v>71</v>
      </c>
      <c r="J226" s="28" t="s">
        <v>72</v>
      </c>
      <c r="K226" s="28"/>
      <c r="L226" s="28"/>
    </row>
    <row r="227" spans="1:12" ht="21.75" customHeight="1" x14ac:dyDescent="0.2">
      <c r="A227" s="28" t="s">
        <v>2167</v>
      </c>
      <c r="B227" s="28" t="s">
        <v>2050</v>
      </c>
      <c r="C227" s="28" t="s">
        <v>382</v>
      </c>
      <c r="D227" s="28" t="s">
        <v>383</v>
      </c>
      <c r="E227" s="29"/>
      <c r="F227" s="29"/>
      <c r="G227" s="29"/>
      <c r="H227" s="28" t="s">
        <v>384</v>
      </c>
      <c r="I227" s="28" t="s">
        <v>71</v>
      </c>
      <c r="J227" s="28" t="s">
        <v>72</v>
      </c>
      <c r="K227" s="28"/>
      <c r="L227" s="28"/>
    </row>
    <row r="228" spans="1:12" ht="21.75" customHeight="1" x14ac:dyDescent="0.2">
      <c r="A228" s="28" t="s">
        <v>2167</v>
      </c>
      <c r="B228" s="28" t="s">
        <v>2050</v>
      </c>
      <c r="C228" s="28" t="s">
        <v>403</v>
      </c>
      <c r="D228" s="28" t="s">
        <v>404</v>
      </c>
      <c r="E228" s="29"/>
      <c r="F228" s="29"/>
      <c r="G228" s="29"/>
      <c r="H228" s="28" t="s">
        <v>405</v>
      </c>
      <c r="I228" s="28" t="s">
        <v>71</v>
      </c>
      <c r="J228" s="28" t="s">
        <v>72</v>
      </c>
      <c r="K228" s="28"/>
      <c r="L228" s="28"/>
    </row>
    <row r="229" spans="1:12" ht="32.25" customHeight="1" x14ac:dyDescent="0.2">
      <c r="A229" s="28" t="s">
        <v>2167</v>
      </c>
      <c r="B229" s="28" t="s">
        <v>461</v>
      </c>
      <c r="C229" s="28" t="s">
        <v>602</v>
      </c>
      <c r="D229" s="28" t="s">
        <v>603</v>
      </c>
      <c r="E229" s="29"/>
      <c r="F229" s="29"/>
      <c r="G229" s="29"/>
      <c r="H229" s="28" t="s">
        <v>605</v>
      </c>
      <c r="I229" s="28" t="s">
        <v>71</v>
      </c>
      <c r="J229" s="28" t="s">
        <v>72</v>
      </c>
      <c r="K229" s="28"/>
      <c r="L229" s="28"/>
    </row>
    <row r="230" spans="1:12" ht="21.75" customHeight="1" x14ac:dyDescent="0.2">
      <c r="A230" s="28" t="s">
        <v>2167</v>
      </c>
      <c r="B230" s="28" t="s">
        <v>461</v>
      </c>
      <c r="C230" s="28" t="s">
        <v>641</v>
      </c>
      <c r="D230" s="28" t="s">
        <v>642</v>
      </c>
      <c r="E230" s="29"/>
      <c r="F230" s="29"/>
      <c r="G230" s="29"/>
      <c r="H230" s="28" t="s">
        <v>644</v>
      </c>
      <c r="I230" s="28" t="s">
        <v>71</v>
      </c>
      <c r="J230" s="28" t="s">
        <v>72</v>
      </c>
      <c r="K230" s="28"/>
      <c r="L230" s="28"/>
    </row>
    <row r="231" spans="1:12" ht="21.75" customHeight="1" x14ac:dyDescent="0.2">
      <c r="A231" s="28" t="s">
        <v>2167</v>
      </c>
      <c r="B231" s="28" t="s">
        <v>470</v>
      </c>
      <c r="C231" s="28" t="s">
        <v>230</v>
      </c>
      <c r="D231" s="28" t="s">
        <v>968</v>
      </c>
      <c r="E231" s="29"/>
      <c r="F231" s="29" t="s">
        <v>67</v>
      </c>
      <c r="G231" s="29"/>
      <c r="H231" s="28" t="s">
        <v>969</v>
      </c>
      <c r="I231" s="28" t="s">
        <v>71</v>
      </c>
      <c r="J231" s="28" t="s">
        <v>72</v>
      </c>
      <c r="K231" s="28"/>
      <c r="L231" s="28"/>
    </row>
    <row r="232" spans="1:12" ht="32.25" customHeight="1" x14ac:dyDescent="0.2">
      <c r="A232" s="28" t="s">
        <v>2167</v>
      </c>
      <c r="B232" s="28" t="s">
        <v>2051</v>
      </c>
      <c r="C232" s="28" t="s">
        <v>63</v>
      </c>
      <c r="D232" s="28" t="s">
        <v>1026</v>
      </c>
      <c r="E232" s="29" t="s">
        <v>67</v>
      </c>
      <c r="F232" s="29" t="s">
        <v>67</v>
      </c>
      <c r="G232" s="29" t="s">
        <v>67</v>
      </c>
      <c r="H232" s="28" t="s">
        <v>1027</v>
      </c>
      <c r="I232" s="28" t="s">
        <v>71</v>
      </c>
      <c r="J232" s="28" t="s">
        <v>72</v>
      </c>
      <c r="K232" s="28"/>
      <c r="L232" s="28"/>
    </row>
    <row r="233" spans="1:12" ht="21.75" customHeight="1" x14ac:dyDescent="0.2">
      <c r="A233" s="28" t="s">
        <v>2167</v>
      </c>
      <c r="B233" s="28" t="s">
        <v>2051</v>
      </c>
      <c r="C233" s="28" t="s">
        <v>78</v>
      </c>
      <c r="D233" s="28" t="s">
        <v>79</v>
      </c>
      <c r="E233" s="29" t="s">
        <v>67</v>
      </c>
      <c r="F233" s="29" t="s">
        <v>67</v>
      </c>
      <c r="G233" s="29"/>
      <c r="H233" s="28" t="s">
        <v>1052</v>
      </c>
      <c r="I233" s="28" t="s">
        <v>71</v>
      </c>
      <c r="J233" s="28" t="s">
        <v>72</v>
      </c>
      <c r="K233" s="28"/>
      <c r="L233" s="28"/>
    </row>
    <row r="234" spans="1:12" ht="21.75" customHeight="1" x14ac:dyDescent="0.2">
      <c r="A234" s="28" t="s">
        <v>2167</v>
      </c>
      <c r="B234" s="28" t="s">
        <v>2051</v>
      </c>
      <c r="C234" s="28" t="s">
        <v>297</v>
      </c>
      <c r="D234" s="28" t="s">
        <v>298</v>
      </c>
      <c r="E234" s="29"/>
      <c r="F234" s="29"/>
      <c r="G234" s="29"/>
      <c r="H234" s="28" t="s">
        <v>1071</v>
      </c>
      <c r="I234" s="28" t="s">
        <v>71</v>
      </c>
      <c r="J234" s="28" t="s">
        <v>72</v>
      </c>
      <c r="K234" s="28"/>
      <c r="L234" s="28"/>
    </row>
    <row r="235" spans="1:12" ht="15" customHeight="1" x14ac:dyDescent="0.2">
      <c r="A235" s="28" t="s">
        <v>2167</v>
      </c>
      <c r="B235" s="28" t="s">
        <v>2051</v>
      </c>
      <c r="C235" s="28" t="s">
        <v>955</v>
      </c>
      <c r="D235" s="28" t="s">
        <v>1113</v>
      </c>
      <c r="E235" s="29" t="s">
        <v>67</v>
      </c>
      <c r="F235" s="29"/>
      <c r="G235" s="29"/>
      <c r="H235" s="28" t="s">
        <v>1114</v>
      </c>
      <c r="I235" s="28" t="s">
        <v>71</v>
      </c>
      <c r="J235" s="28" t="s">
        <v>72</v>
      </c>
      <c r="K235" s="28"/>
      <c r="L235" s="28"/>
    </row>
    <row r="236" spans="1:12" ht="21.75" customHeight="1" x14ac:dyDescent="0.2">
      <c r="A236" s="28" t="s">
        <v>2167</v>
      </c>
      <c r="B236" s="28" t="s">
        <v>2051</v>
      </c>
      <c r="C236" s="28" t="s">
        <v>1197</v>
      </c>
      <c r="D236" s="28" t="s">
        <v>1198</v>
      </c>
      <c r="E236" s="29"/>
      <c r="F236" s="29" t="s">
        <v>67</v>
      </c>
      <c r="G236" s="29"/>
      <c r="H236" s="28" t="s">
        <v>1199</v>
      </c>
      <c r="I236" s="28" t="s">
        <v>71</v>
      </c>
      <c r="J236" s="28" t="s">
        <v>72</v>
      </c>
      <c r="K236" s="28"/>
      <c r="L236" s="28"/>
    </row>
    <row r="237" spans="1:12" ht="15" customHeight="1" x14ac:dyDescent="0.2">
      <c r="A237" s="28" t="s">
        <v>2167</v>
      </c>
      <c r="B237" s="28" t="s">
        <v>2051</v>
      </c>
      <c r="C237" s="28" t="s">
        <v>1220</v>
      </c>
      <c r="D237" s="28" t="s">
        <v>1221</v>
      </c>
      <c r="E237" s="29" t="s">
        <v>67</v>
      </c>
      <c r="F237" s="29" t="s">
        <v>67</v>
      </c>
      <c r="G237" s="29"/>
      <c r="H237" s="28" t="s">
        <v>1222</v>
      </c>
      <c r="I237" s="28" t="s">
        <v>71</v>
      </c>
      <c r="J237" s="28" t="s">
        <v>72</v>
      </c>
      <c r="K237" s="28"/>
      <c r="L237" s="28"/>
    </row>
    <row r="238" spans="1:12" ht="15" customHeight="1" x14ac:dyDescent="0.2">
      <c r="A238" s="28" t="s">
        <v>2167</v>
      </c>
      <c r="B238" s="28" t="s">
        <v>2051</v>
      </c>
      <c r="C238" s="28" t="s">
        <v>1238</v>
      </c>
      <c r="D238" s="28" t="s">
        <v>1239</v>
      </c>
      <c r="E238" s="29"/>
      <c r="F238" s="29" t="s">
        <v>67</v>
      </c>
      <c r="G238" s="29"/>
      <c r="H238" s="28" t="s">
        <v>1240</v>
      </c>
      <c r="I238" s="28" t="s">
        <v>71</v>
      </c>
      <c r="J238" s="28" t="s">
        <v>72</v>
      </c>
      <c r="K238" s="28"/>
      <c r="L238" s="28"/>
    </row>
    <row r="239" spans="1:12" ht="21.75" customHeight="1" x14ac:dyDescent="0.2">
      <c r="A239" s="28" t="s">
        <v>2167</v>
      </c>
      <c r="B239" s="28" t="s">
        <v>2051</v>
      </c>
      <c r="C239" s="28" t="s">
        <v>1382</v>
      </c>
      <c r="D239" s="28" t="s">
        <v>1383</v>
      </c>
      <c r="E239" s="29" t="s">
        <v>67</v>
      </c>
      <c r="F239" s="29" t="s">
        <v>67</v>
      </c>
      <c r="G239" s="29" t="s">
        <v>67</v>
      </c>
      <c r="H239" s="28" t="s">
        <v>1384</v>
      </c>
      <c r="I239" s="28" t="s">
        <v>71</v>
      </c>
      <c r="J239" s="28" t="s">
        <v>72</v>
      </c>
      <c r="K239" s="28"/>
      <c r="L239" s="28"/>
    </row>
    <row r="240" spans="1:12" ht="21.75" customHeight="1" x14ac:dyDescent="0.2">
      <c r="A240" s="28" t="s">
        <v>2167</v>
      </c>
      <c r="B240" s="28" t="s">
        <v>476</v>
      </c>
      <c r="C240" s="28" t="s">
        <v>1653</v>
      </c>
      <c r="D240" s="28" t="s">
        <v>1654</v>
      </c>
      <c r="E240" s="29"/>
      <c r="F240" s="29"/>
      <c r="G240" s="29"/>
      <c r="H240" s="28" t="s">
        <v>1655</v>
      </c>
      <c r="I240" s="28" t="s">
        <v>71</v>
      </c>
      <c r="J240" s="28" t="s">
        <v>72</v>
      </c>
      <c r="K240" s="28"/>
      <c r="L240" s="28"/>
    </row>
    <row r="241" spans="1:12" ht="21.75" customHeight="1" x14ac:dyDescent="0.2">
      <c r="A241" s="28" t="s">
        <v>2167</v>
      </c>
      <c r="B241" s="28" t="s">
        <v>476</v>
      </c>
      <c r="C241" s="28" t="s">
        <v>1707</v>
      </c>
      <c r="D241" s="28" t="s">
        <v>1708</v>
      </c>
      <c r="E241" s="29"/>
      <c r="F241" s="29" t="s">
        <v>67</v>
      </c>
      <c r="G241" s="29"/>
      <c r="H241" s="28" t="s">
        <v>1709</v>
      </c>
      <c r="I241" s="28" t="s">
        <v>71</v>
      </c>
      <c r="J241" s="28" t="s">
        <v>72</v>
      </c>
      <c r="K241" s="28"/>
      <c r="L241" s="28"/>
    </row>
    <row r="242" spans="1:12" ht="15" customHeight="1" x14ac:dyDescent="0.2">
      <c r="A242" s="28" t="s">
        <v>2167</v>
      </c>
      <c r="B242" s="28" t="s">
        <v>476</v>
      </c>
      <c r="C242" s="28" t="s">
        <v>1714</v>
      </c>
      <c r="D242" s="28" t="s">
        <v>1715</v>
      </c>
      <c r="E242" s="29"/>
      <c r="F242" s="29" t="s">
        <v>67</v>
      </c>
      <c r="G242" s="29" t="s">
        <v>67</v>
      </c>
      <c r="H242" s="28" t="s">
        <v>1716</v>
      </c>
      <c r="I242" s="28" t="s">
        <v>71</v>
      </c>
      <c r="J242" s="28" t="s">
        <v>72</v>
      </c>
      <c r="K242" s="28"/>
      <c r="L242" s="28"/>
    </row>
    <row r="243" spans="1:12" ht="21.75" customHeight="1" x14ac:dyDescent="0.2">
      <c r="A243" s="28" t="s">
        <v>2167</v>
      </c>
      <c r="B243" s="28" t="s">
        <v>479</v>
      </c>
      <c r="C243" s="28" t="s">
        <v>1836</v>
      </c>
      <c r="D243" s="28" t="s">
        <v>1837</v>
      </c>
      <c r="E243" s="29"/>
      <c r="F243" s="29"/>
      <c r="G243" s="29"/>
      <c r="H243" s="28" t="s">
        <v>1838</v>
      </c>
      <c r="I243" s="28" t="s">
        <v>71</v>
      </c>
      <c r="J243" s="28" t="s">
        <v>72</v>
      </c>
      <c r="K243" s="28"/>
      <c r="L243" s="28"/>
    </row>
    <row r="244" spans="1:12" ht="32.25" customHeight="1" x14ac:dyDescent="0.2">
      <c r="A244" s="28" t="s">
        <v>2167</v>
      </c>
      <c r="B244" s="28" t="s">
        <v>493</v>
      </c>
      <c r="C244" s="28" t="s">
        <v>2168</v>
      </c>
      <c r="D244" s="28" t="s">
        <v>2169</v>
      </c>
      <c r="E244" s="29"/>
      <c r="F244" s="29" t="s">
        <v>67</v>
      </c>
      <c r="G244" s="29"/>
      <c r="H244" s="28" t="s">
        <v>2170</v>
      </c>
      <c r="I244" s="28" t="s">
        <v>71</v>
      </c>
      <c r="J244" s="28" t="s">
        <v>72</v>
      </c>
      <c r="K244" s="28"/>
      <c r="L244" s="28"/>
    </row>
    <row r="245" spans="1:12" ht="15" customHeight="1" x14ac:dyDescent="0.2">
      <c r="A245" s="6" t="s">
        <v>2171</v>
      </c>
      <c r="B245" s="6"/>
      <c r="C245" s="6"/>
      <c r="D245" s="6"/>
      <c r="E245" s="6"/>
      <c r="F245" s="6"/>
      <c r="G245" s="6"/>
      <c r="H245" s="6"/>
      <c r="I245" s="6"/>
      <c r="J245" s="6"/>
      <c r="K245" s="6"/>
      <c r="L245" s="6"/>
    </row>
    <row r="246" spans="1:12" ht="32.25" customHeight="1" x14ac:dyDescent="0.2">
      <c r="A246" s="28" t="s">
        <v>2172</v>
      </c>
      <c r="B246" s="28" t="s">
        <v>461</v>
      </c>
      <c r="C246" s="28" t="s">
        <v>613</v>
      </c>
      <c r="D246" s="28" t="s">
        <v>614</v>
      </c>
      <c r="E246" s="29"/>
      <c r="F246" s="29"/>
      <c r="G246" s="29"/>
      <c r="H246" s="28" t="s">
        <v>2173</v>
      </c>
      <c r="I246" s="28" t="s">
        <v>71</v>
      </c>
      <c r="J246" s="28" t="s">
        <v>72</v>
      </c>
      <c r="K246" s="28"/>
      <c r="L246" s="28"/>
    </row>
    <row r="247" spans="1:12" ht="32.25" customHeight="1" x14ac:dyDescent="0.2">
      <c r="A247" s="28" t="s">
        <v>2172</v>
      </c>
      <c r="B247" s="28" t="s">
        <v>461</v>
      </c>
      <c r="C247" s="28" t="s">
        <v>710</v>
      </c>
      <c r="D247" s="28" t="s">
        <v>711</v>
      </c>
      <c r="E247" s="29"/>
      <c r="F247" s="29"/>
      <c r="G247" s="29"/>
      <c r="H247" s="28" t="s">
        <v>2174</v>
      </c>
      <c r="I247" s="28" t="s">
        <v>71</v>
      </c>
      <c r="J247" s="28" t="s">
        <v>72</v>
      </c>
      <c r="K247" s="28"/>
      <c r="L247" s="28"/>
    </row>
    <row r="248" spans="1:12" ht="32.25" customHeight="1" x14ac:dyDescent="0.2">
      <c r="A248" s="28" t="s">
        <v>2172</v>
      </c>
      <c r="B248" s="28" t="s">
        <v>464</v>
      </c>
      <c r="C248" s="28" t="s">
        <v>758</v>
      </c>
      <c r="D248" s="28" t="s">
        <v>759</v>
      </c>
      <c r="E248" s="29"/>
      <c r="F248" s="29"/>
      <c r="G248" s="29"/>
      <c r="H248" s="28" t="s">
        <v>2175</v>
      </c>
      <c r="I248" s="28" t="s">
        <v>71</v>
      </c>
      <c r="J248" s="28" t="s">
        <v>72</v>
      </c>
      <c r="K248" s="28"/>
      <c r="L248" s="28"/>
    </row>
    <row r="249" spans="1:12" ht="32.25" customHeight="1" x14ac:dyDescent="0.2">
      <c r="A249" s="28" t="s">
        <v>2172</v>
      </c>
      <c r="B249" s="28" t="s">
        <v>479</v>
      </c>
      <c r="C249" s="28" t="s">
        <v>1748</v>
      </c>
      <c r="D249" s="28" t="s">
        <v>1749</v>
      </c>
      <c r="E249" s="29"/>
      <c r="F249" s="29"/>
      <c r="G249" s="29"/>
      <c r="H249" s="28" t="s">
        <v>1750</v>
      </c>
      <c r="I249" s="28" t="s">
        <v>71</v>
      </c>
      <c r="J249" s="28" t="s">
        <v>72</v>
      </c>
      <c r="K249" s="28"/>
      <c r="L249" s="28"/>
    </row>
    <row r="250" spans="1:12" ht="21.75" customHeight="1" x14ac:dyDescent="0.2">
      <c r="A250" s="28" t="s">
        <v>2172</v>
      </c>
      <c r="B250" s="28" t="s">
        <v>479</v>
      </c>
      <c r="C250" s="28" t="s">
        <v>1781</v>
      </c>
      <c r="D250" s="28" t="s">
        <v>1782</v>
      </c>
      <c r="E250" s="29"/>
      <c r="F250" s="29"/>
      <c r="G250" s="29"/>
      <c r="H250" s="28" t="s">
        <v>1783</v>
      </c>
      <c r="I250" s="28" t="s">
        <v>71</v>
      </c>
      <c r="J250" s="28" t="s">
        <v>72</v>
      </c>
      <c r="K250" s="28"/>
      <c r="L250" s="28"/>
    </row>
    <row r="251" spans="1:12" ht="21.75" customHeight="1" x14ac:dyDescent="0.2">
      <c r="A251" s="28" t="s">
        <v>2172</v>
      </c>
      <c r="B251" s="28" t="s">
        <v>479</v>
      </c>
      <c r="C251" s="28" t="s">
        <v>623</v>
      </c>
      <c r="D251" s="28" t="s">
        <v>1785</v>
      </c>
      <c r="E251" s="29"/>
      <c r="F251" s="29"/>
      <c r="G251" s="29"/>
      <c r="H251" s="28" t="s">
        <v>1786</v>
      </c>
      <c r="I251" s="28" t="s">
        <v>71</v>
      </c>
      <c r="J251" s="28" t="s">
        <v>72</v>
      </c>
      <c r="K251" s="28"/>
      <c r="L251" s="28"/>
    </row>
    <row r="252" spans="1:12" ht="15" customHeight="1" x14ac:dyDescent="0.2">
      <c r="A252" s="28" t="s">
        <v>2172</v>
      </c>
      <c r="B252" s="28" t="s">
        <v>479</v>
      </c>
      <c r="C252" s="28" t="s">
        <v>631</v>
      </c>
      <c r="D252" s="28" t="s">
        <v>1788</v>
      </c>
      <c r="E252" s="29"/>
      <c r="F252" s="29" t="s">
        <v>67</v>
      </c>
      <c r="G252" s="29"/>
      <c r="H252" s="28" t="s">
        <v>1789</v>
      </c>
      <c r="I252" s="28" t="s">
        <v>71</v>
      </c>
      <c r="J252" s="28" t="s">
        <v>72</v>
      </c>
      <c r="K252" s="28"/>
      <c r="L252" s="28"/>
    </row>
    <row r="253" spans="1:12" ht="21.75" customHeight="1" x14ac:dyDescent="0.2">
      <c r="A253" s="28" t="s">
        <v>2172</v>
      </c>
      <c r="B253" s="28" t="s">
        <v>479</v>
      </c>
      <c r="C253" s="28" t="s">
        <v>636</v>
      </c>
      <c r="D253" s="28" t="s">
        <v>1792</v>
      </c>
      <c r="E253" s="29"/>
      <c r="F253" s="29"/>
      <c r="G253" s="29"/>
      <c r="H253" s="28" t="s">
        <v>1793</v>
      </c>
      <c r="I253" s="28" t="s">
        <v>71</v>
      </c>
      <c r="J253" s="28" t="s">
        <v>72</v>
      </c>
      <c r="K253" s="28"/>
      <c r="L253" s="28"/>
    </row>
    <row r="254" spans="1:12" ht="21.75" customHeight="1" x14ac:dyDescent="0.2">
      <c r="A254" s="28" t="s">
        <v>2172</v>
      </c>
      <c r="B254" s="28" t="s">
        <v>479</v>
      </c>
      <c r="C254" s="28" t="s">
        <v>641</v>
      </c>
      <c r="D254" s="28" t="s">
        <v>1795</v>
      </c>
      <c r="E254" s="29"/>
      <c r="F254" s="29"/>
      <c r="G254" s="29"/>
      <c r="H254" s="28" t="s">
        <v>1796</v>
      </c>
      <c r="I254" s="28" t="s">
        <v>71</v>
      </c>
      <c r="J254" s="28" t="s">
        <v>72</v>
      </c>
      <c r="K254" s="28"/>
      <c r="L254" s="28"/>
    </row>
    <row r="255" spans="1:12" ht="21.75" customHeight="1" x14ac:dyDescent="0.2">
      <c r="A255" s="28" t="s">
        <v>2172</v>
      </c>
      <c r="B255" s="28" t="s">
        <v>479</v>
      </c>
      <c r="C255" s="28" t="s">
        <v>646</v>
      </c>
      <c r="D255" s="28" t="s">
        <v>1798</v>
      </c>
      <c r="E255" s="29"/>
      <c r="F255" s="29"/>
      <c r="G255" s="29"/>
      <c r="H255" s="28" t="s">
        <v>1799</v>
      </c>
      <c r="I255" s="28" t="s">
        <v>71</v>
      </c>
      <c r="J255" s="28" t="s">
        <v>72</v>
      </c>
      <c r="K255" s="28"/>
      <c r="L255" s="28"/>
    </row>
    <row r="256" spans="1:12" ht="21.75" customHeight="1" x14ac:dyDescent="0.2">
      <c r="A256" s="28" t="s">
        <v>2172</v>
      </c>
      <c r="B256" s="28" t="s">
        <v>479</v>
      </c>
      <c r="C256" s="28" t="s">
        <v>652</v>
      </c>
      <c r="D256" s="28" t="s">
        <v>1801</v>
      </c>
      <c r="E256" s="29"/>
      <c r="F256" s="29"/>
      <c r="G256" s="29"/>
      <c r="H256" s="28" t="s">
        <v>1802</v>
      </c>
      <c r="I256" s="28" t="s">
        <v>71</v>
      </c>
      <c r="J256" s="28" t="s">
        <v>72</v>
      </c>
      <c r="K256" s="28"/>
      <c r="L256" s="28"/>
    </row>
    <row r="257" spans="1:12" ht="21.75" customHeight="1" x14ac:dyDescent="0.2">
      <c r="A257" s="28" t="s">
        <v>2172</v>
      </c>
      <c r="B257" s="28" t="s">
        <v>479</v>
      </c>
      <c r="C257" s="28" t="s">
        <v>657</v>
      </c>
      <c r="D257" s="28" t="s">
        <v>1804</v>
      </c>
      <c r="E257" s="29"/>
      <c r="F257" s="29"/>
      <c r="G257" s="29"/>
      <c r="H257" s="28" t="s">
        <v>1805</v>
      </c>
      <c r="I257" s="28" t="s">
        <v>71</v>
      </c>
      <c r="J257" s="28" t="s">
        <v>72</v>
      </c>
      <c r="K257" s="28"/>
      <c r="L257" s="28"/>
    </row>
    <row r="258" spans="1:12" ht="32.25" customHeight="1" x14ac:dyDescent="0.2">
      <c r="A258" s="28" t="s">
        <v>2172</v>
      </c>
      <c r="B258" s="28" t="s">
        <v>479</v>
      </c>
      <c r="C258" s="28" t="s">
        <v>663</v>
      </c>
      <c r="D258" s="28" t="s">
        <v>1807</v>
      </c>
      <c r="E258" s="29"/>
      <c r="F258" s="29"/>
      <c r="G258" s="29"/>
      <c r="H258" s="28" t="s">
        <v>1808</v>
      </c>
      <c r="I258" s="28" t="s">
        <v>71</v>
      </c>
      <c r="J258" s="28" t="s">
        <v>72</v>
      </c>
      <c r="K258" s="28"/>
      <c r="L258" s="28"/>
    </row>
    <row r="259" spans="1:12" ht="21.75" customHeight="1" x14ac:dyDescent="0.2">
      <c r="A259" s="28" t="s">
        <v>2172</v>
      </c>
      <c r="B259" s="28" t="s">
        <v>479</v>
      </c>
      <c r="C259" s="28" t="s">
        <v>1856</v>
      </c>
      <c r="D259" s="28" t="s">
        <v>1857</v>
      </c>
      <c r="E259" s="29" t="s">
        <v>67</v>
      </c>
      <c r="F259" s="29" t="s">
        <v>67</v>
      </c>
      <c r="G259" s="29" t="s">
        <v>67</v>
      </c>
      <c r="H259" s="28" t="s">
        <v>1858</v>
      </c>
      <c r="I259" s="28" t="s">
        <v>71</v>
      </c>
      <c r="J259" s="28" t="s">
        <v>72</v>
      </c>
      <c r="K259" s="28"/>
      <c r="L259" s="28"/>
    </row>
    <row r="260" spans="1:12" ht="32.25" customHeight="1" x14ac:dyDescent="0.2">
      <c r="A260" s="28" t="s">
        <v>2172</v>
      </c>
      <c r="B260" s="28" t="s">
        <v>479</v>
      </c>
      <c r="C260" s="28" t="s">
        <v>1901</v>
      </c>
      <c r="D260" s="28" t="s">
        <v>1902</v>
      </c>
      <c r="E260" s="29"/>
      <c r="F260" s="29"/>
      <c r="G260" s="29"/>
      <c r="H260" s="28" t="s">
        <v>1903</v>
      </c>
      <c r="I260" s="28" t="s">
        <v>71</v>
      </c>
      <c r="J260" s="28" t="s">
        <v>72</v>
      </c>
      <c r="K260" s="28"/>
      <c r="L260" s="28"/>
    </row>
    <row r="261" spans="1:12" ht="32.25" customHeight="1" x14ac:dyDescent="0.2">
      <c r="A261" s="28" t="s">
        <v>2172</v>
      </c>
      <c r="B261" s="28" t="s">
        <v>484</v>
      </c>
      <c r="C261" s="28" t="s">
        <v>926</v>
      </c>
      <c r="D261" s="28" t="s">
        <v>1973</v>
      </c>
      <c r="E261" s="29" t="s">
        <v>67</v>
      </c>
      <c r="F261" s="29"/>
      <c r="G261" s="29"/>
      <c r="H261" s="28" t="s">
        <v>2176</v>
      </c>
      <c r="I261" s="28" t="s">
        <v>71</v>
      </c>
      <c r="J261" s="28" t="s">
        <v>72</v>
      </c>
      <c r="K261" s="28"/>
      <c r="L261" s="28"/>
    </row>
    <row r="262" spans="1:12" ht="32.25" customHeight="1" x14ac:dyDescent="0.2">
      <c r="A262" s="28" t="s">
        <v>2172</v>
      </c>
      <c r="B262" s="28" t="s">
        <v>484</v>
      </c>
      <c r="C262" s="28" t="s">
        <v>246</v>
      </c>
      <c r="D262" s="28" t="s">
        <v>2012</v>
      </c>
      <c r="E262" s="29"/>
      <c r="F262" s="29"/>
      <c r="G262" s="29"/>
      <c r="H262" s="28" t="s">
        <v>2013</v>
      </c>
      <c r="I262" s="28" t="s">
        <v>71</v>
      </c>
      <c r="J262" s="28" t="s">
        <v>72</v>
      </c>
      <c r="K262" s="28"/>
      <c r="L262" s="28"/>
    </row>
    <row r="263" spans="1:12" ht="21.75" customHeight="1" x14ac:dyDescent="0.2">
      <c r="A263" s="28" t="s">
        <v>2172</v>
      </c>
      <c r="B263" s="28" t="s">
        <v>484</v>
      </c>
      <c r="C263" s="28" t="s">
        <v>88</v>
      </c>
      <c r="D263" s="28" t="s">
        <v>2012</v>
      </c>
      <c r="E263" s="29"/>
      <c r="F263" s="29"/>
      <c r="G263" s="29"/>
      <c r="H263" s="28" t="s">
        <v>2026</v>
      </c>
      <c r="I263" s="28" t="s">
        <v>71</v>
      </c>
      <c r="J263" s="28" t="s">
        <v>72</v>
      </c>
      <c r="K263" s="28"/>
      <c r="L263" s="28"/>
    </row>
    <row r="264" spans="1:12" ht="32.25" customHeight="1" x14ac:dyDescent="0.2">
      <c r="A264" s="28" t="s">
        <v>2172</v>
      </c>
      <c r="B264" s="28" t="s">
        <v>484</v>
      </c>
      <c r="C264" s="28" t="s">
        <v>94</v>
      </c>
      <c r="D264" s="28" t="s">
        <v>2034</v>
      </c>
      <c r="E264" s="29"/>
      <c r="F264" s="29"/>
      <c r="G264" s="29"/>
      <c r="H264" s="28" t="s">
        <v>2177</v>
      </c>
      <c r="I264" s="28" t="s">
        <v>71</v>
      </c>
      <c r="J264" s="28" t="s">
        <v>72</v>
      </c>
      <c r="K264" s="28"/>
      <c r="L264" s="28"/>
    </row>
    <row r="265" spans="1:12" ht="32.25" customHeight="1" x14ac:dyDescent="0.2">
      <c r="A265" s="28" t="s">
        <v>2172</v>
      </c>
      <c r="B265" s="28" t="s">
        <v>493</v>
      </c>
      <c r="C265" s="28" t="s">
        <v>182</v>
      </c>
      <c r="D265" s="28" t="s">
        <v>2178</v>
      </c>
      <c r="E265" s="29"/>
      <c r="F265" s="29"/>
      <c r="G265" s="29"/>
      <c r="H265" s="28" t="s">
        <v>2179</v>
      </c>
      <c r="I265" s="28" t="s">
        <v>71</v>
      </c>
      <c r="J265" s="28" t="s">
        <v>72</v>
      </c>
      <c r="K265" s="28"/>
      <c r="L265" s="28"/>
    </row>
    <row r="266" spans="1:12" ht="15" customHeight="1" x14ac:dyDescent="0.2">
      <c r="A266" s="6" t="s">
        <v>2180</v>
      </c>
      <c r="B266" s="6"/>
      <c r="C266" s="6"/>
      <c r="D266" s="6"/>
      <c r="E266" s="6"/>
      <c r="F266" s="6"/>
      <c r="G266" s="6"/>
      <c r="H266" s="6"/>
      <c r="I266" s="6"/>
      <c r="J266" s="6"/>
      <c r="K266" s="6"/>
      <c r="L266" s="6"/>
    </row>
    <row r="267" spans="1:12" ht="21.75" customHeight="1" x14ac:dyDescent="0.2">
      <c r="A267" s="28" t="s">
        <v>2181</v>
      </c>
      <c r="B267" s="28" t="s">
        <v>2050</v>
      </c>
      <c r="C267" s="28" t="s">
        <v>160</v>
      </c>
      <c r="D267" s="28" t="s">
        <v>161</v>
      </c>
      <c r="E267" s="29" t="s">
        <v>67</v>
      </c>
      <c r="F267" s="29" t="s">
        <v>67</v>
      </c>
      <c r="G267" s="29" t="s">
        <v>67</v>
      </c>
      <c r="H267" s="28" t="s">
        <v>162</v>
      </c>
      <c r="I267" s="28" t="s">
        <v>71</v>
      </c>
      <c r="J267" s="28" t="s">
        <v>72</v>
      </c>
      <c r="K267" s="28"/>
      <c r="L267" s="28"/>
    </row>
    <row r="268" spans="1:12" ht="21.75" customHeight="1" x14ac:dyDescent="0.2">
      <c r="A268" s="28" t="s">
        <v>2181</v>
      </c>
      <c r="B268" s="28" t="s">
        <v>2050</v>
      </c>
      <c r="C268" s="28" t="s">
        <v>166</v>
      </c>
      <c r="D268" s="28" t="s">
        <v>167</v>
      </c>
      <c r="E268" s="29" t="s">
        <v>67</v>
      </c>
      <c r="F268" s="29" t="s">
        <v>67</v>
      </c>
      <c r="G268" s="29" t="s">
        <v>67</v>
      </c>
      <c r="H268" s="28" t="s">
        <v>168</v>
      </c>
      <c r="I268" s="28" t="s">
        <v>71</v>
      </c>
      <c r="J268" s="28" t="s">
        <v>72</v>
      </c>
      <c r="K268" s="28"/>
      <c r="L268" s="28"/>
    </row>
    <row r="269" spans="1:12" ht="32.25" customHeight="1" x14ac:dyDescent="0.2">
      <c r="A269" s="28" t="s">
        <v>2181</v>
      </c>
      <c r="B269" s="28" t="s">
        <v>2050</v>
      </c>
      <c r="C269" s="28" t="s">
        <v>265</v>
      </c>
      <c r="D269" s="28" t="s">
        <v>266</v>
      </c>
      <c r="E269" s="29"/>
      <c r="F269" s="29"/>
      <c r="G269" s="29"/>
      <c r="H269" s="28" t="s">
        <v>267</v>
      </c>
      <c r="I269" s="28" t="s">
        <v>71</v>
      </c>
      <c r="J269" s="28" t="s">
        <v>72</v>
      </c>
      <c r="K269" s="28"/>
      <c r="L269" s="28"/>
    </row>
    <row r="270" spans="1:12" ht="32.25" customHeight="1" x14ac:dyDescent="0.2">
      <c r="A270" s="28" t="s">
        <v>2181</v>
      </c>
      <c r="B270" s="28" t="s">
        <v>461</v>
      </c>
      <c r="C270" s="28" t="s">
        <v>678</v>
      </c>
      <c r="D270" s="28" t="s">
        <v>679</v>
      </c>
      <c r="E270" s="29" t="s">
        <v>67</v>
      </c>
      <c r="F270" s="29"/>
      <c r="G270" s="29"/>
      <c r="H270" s="28" t="s">
        <v>2182</v>
      </c>
      <c r="I270" s="28" t="s">
        <v>71</v>
      </c>
      <c r="J270" s="28" t="s">
        <v>72</v>
      </c>
      <c r="K270" s="28"/>
      <c r="L270" s="28"/>
    </row>
    <row r="271" spans="1:12" ht="42.75" customHeight="1" x14ac:dyDescent="0.2">
      <c r="A271" s="28" t="s">
        <v>2181</v>
      </c>
      <c r="B271" s="28" t="s">
        <v>467</v>
      </c>
      <c r="C271" s="28" t="s">
        <v>838</v>
      </c>
      <c r="D271" s="28" t="s">
        <v>839</v>
      </c>
      <c r="E271" s="29" t="s">
        <v>67</v>
      </c>
      <c r="F271" s="29"/>
      <c r="G271" s="29"/>
      <c r="H271" s="28" t="s">
        <v>840</v>
      </c>
      <c r="I271" s="28" t="s">
        <v>71</v>
      </c>
      <c r="J271" s="28" t="s">
        <v>72</v>
      </c>
      <c r="K271" s="28"/>
      <c r="L271" s="28"/>
    </row>
    <row r="272" spans="1:12" ht="42.75" customHeight="1" x14ac:dyDescent="0.2">
      <c r="A272" s="28" t="s">
        <v>2181</v>
      </c>
      <c r="B272" s="28" t="s">
        <v>467</v>
      </c>
      <c r="C272" s="28" t="s">
        <v>857</v>
      </c>
      <c r="D272" s="28" t="s">
        <v>858</v>
      </c>
      <c r="E272" s="29" t="s">
        <v>67</v>
      </c>
      <c r="F272" s="29" t="s">
        <v>67</v>
      </c>
      <c r="G272" s="29" t="s">
        <v>67</v>
      </c>
      <c r="H272" s="28" t="s">
        <v>859</v>
      </c>
      <c r="I272" s="28" t="s">
        <v>71</v>
      </c>
      <c r="J272" s="28" t="s">
        <v>72</v>
      </c>
      <c r="K272" s="28"/>
      <c r="L272" s="28"/>
    </row>
    <row r="273" spans="1:12" ht="21.75" customHeight="1" x14ac:dyDescent="0.2">
      <c r="A273" s="28" t="s">
        <v>2181</v>
      </c>
      <c r="B273" s="28" t="s">
        <v>467</v>
      </c>
      <c r="C273" s="28" t="s">
        <v>896</v>
      </c>
      <c r="D273" s="28" t="s">
        <v>897</v>
      </c>
      <c r="E273" s="29" t="s">
        <v>67</v>
      </c>
      <c r="F273" s="29"/>
      <c r="G273" s="29"/>
      <c r="H273" s="28" t="s">
        <v>898</v>
      </c>
      <c r="I273" s="28" t="s">
        <v>71</v>
      </c>
      <c r="J273" s="28" t="s">
        <v>72</v>
      </c>
      <c r="K273" s="28"/>
      <c r="L273" s="28"/>
    </row>
    <row r="274" spans="1:12" ht="32.25" customHeight="1" x14ac:dyDescent="0.2">
      <c r="A274" s="28" t="s">
        <v>2181</v>
      </c>
      <c r="B274" s="28" t="s">
        <v>2051</v>
      </c>
      <c r="C274" s="28" t="s">
        <v>265</v>
      </c>
      <c r="D274" s="28" t="s">
        <v>266</v>
      </c>
      <c r="E274" s="29"/>
      <c r="F274" s="29"/>
      <c r="G274" s="29"/>
      <c r="H274" s="28" t="s">
        <v>1057</v>
      </c>
      <c r="I274" s="28" t="s">
        <v>71</v>
      </c>
      <c r="J274" s="28" t="s">
        <v>72</v>
      </c>
      <c r="K274" s="28"/>
      <c r="L274" s="28"/>
    </row>
    <row r="275" spans="1:12" ht="15" customHeight="1" x14ac:dyDescent="0.2">
      <c r="A275" s="28" t="s">
        <v>2181</v>
      </c>
      <c r="B275" s="28" t="s">
        <v>2051</v>
      </c>
      <c r="C275" s="28" t="s">
        <v>1152</v>
      </c>
      <c r="D275" s="28" t="s">
        <v>1153</v>
      </c>
      <c r="E275" s="29" t="s">
        <v>67</v>
      </c>
      <c r="F275" s="29" t="s">
        <v>67</v>
      </c>
      <c r="G275" s="29" t="s">
        <v>67</v>
      </c>
      <c r="H275" s="28" t="s">
        <v>1154</v>
      </c>
      <c r="I275" s="28" t="s">
        <v>71</v>
      </c>
      <c r="J275" s="28" t="s">
        <v>72</v>
      </c>
      <c r="K275" s="28"/>
      <c r="L275" s="28"/>
    </row>
    <row r="276" spans="1:12" ht="21.75" customHeight="1" x14ac:dyDescent="0.2">
      <c r="A276" s="28" t="s">
        <v>2181</v>
      </c>
      <c r="B276" s="28" t="s">
        <v>2051</v>
      </c>
      <c r="C276" s="28" t="s">
        <v>1157</v>
      </c>
      <c r="D276" s="28" t="s">
        <v>1158</v>
      </c>
      <c r="E276" s="29" t="s">
        <v>67</v>
      </c>
      <c r="F276" s="29" t="s">
        <v>67</v>
      </c>
      <c r="G276" s="29" t="s">
        <v>67</v>
      </c>
      <c r="H276" s="28" t="s">
        <v>1159</v>
      </c>
      <c r="I276" s="28" t="s">
        <v>71</v>
      </c>
      <c r="J276" s="28" t="s">
        <v>72</v>
      </c>
      <c r="K276" s="28"/>
      <c r="L276" s="28"/>
    </row>
    <row r="277" spans="1:12" ht="21.75" customHeight="1" x14ac:dyDescent="0.2">
      <c r="A277" s="28" t="s">
        <v>2181</v>
      </c>
      <c r="B277" s="28" t="s">
        <v>2051</v>
      </c>
      <c r="C277" s="28" t="s">
        <v>1162</v>
      </c>
      <c r="D277" s="28" t="s">
        <v>1163</v>
      </c>
      <c r="E277" s="29" t="s">
        <v>67</v>
      </c>
      <c r="F277" s="29" t="s">
        <v>67</v>
      </c>
      <c r="G277" s="29" t="s">
        <v>67</v>
      </c>
      <c r="H277" s="28" t="s">
        <v>1164</v>
      </c>
      <c r="I277" s="28" t="s">
        <v>71</v>
      </c>
      <c r="J277" s="28" t="s">
        <v>72</v>
      </c>
      <c r="K277" s="28"/>
      <c r="L277" s="28"/>
    </row>
    <row r="278" spans="1:12" ht="15" customHeight="1" x14ac:dyDescent="0.2">
      <c r="A278" s="28" t="s">
        <v>2181</v>
      </c>
      <c r="B278" s="28" t="s">
        <v>2051</v>
      </c>
      <c r="C278" s="28" t="s">
        <v>1487</v>
      </c>
      <c r="D278" s="28" t="s">
        <v>1488</v>
      </c>
      <c r="E278" s="29" t="s">
        <v>67</v>
      </c>
      <c r="F278" s="29" t="s">
        <v>67</v>
      </c>
      <c r="G278" s="29" t="s">
        <v>67</v>
      </c>
      <c r="H278" s="28" t="s">
        <v>1489</v>
      </c>
      <c r="I278" s="28" t="s">
        <v>71</v>
      </c>
      <c r="J278" s="28" t="s">
        <v>72</v>
      </c>
      <c r="K278" s="28"/>
      <c r="L278" s="28"/>
    </row>
    <row r="279" spans="1:12" ht="21.75" customHeight="1" x14ac:dyDescent="0.2">
      <c r="A279" s="28" t="s">
        <v>2181</v>
      </c>
      <c r="B279" s="28" t="s">
        <v>476</v>
      </c>
      <c r="C279" s="28" t="s">
        <v>1294</v>
      </c>
      <c r="D279" s="28" t="s">
        <v>1606</v>
      </c>
      <c r="E279" s="29" t="s">
        <v>67</v>
      </c>
      <c r="F279" s="29"/>
      <c r="G279" s="29"/>
      <c r="H279" s="28" t="s">
        <v>1607</v>
      </c>
      <c r="I279" s="28" t="s">
        <v>71</v>
      </c>
      <c r="J279" s="28" t="s">
        <v>72</v>
      </c>
      <c r="K279" s="28"/>
      <c r="L279" s="28"/>
    </row>
    <row r="280" spans="1:12" ht="32.25" customHeight="1" x14ac:dyDescent="0.2">
      <c r="A280" s="28" t="s">
        <v>2181</v>
      </c>
      <c r="B280" s="28" t="s">
        <v>479</v>
      </c>
      <c r="C280" s="28" t="s">
        <v>1826</v>
      </c>
      <c r="D280" s="28" t="s">
        <v>1827</v>
      </c>
      <c r="E280" s="29" t="s">
        <v>67</v>
      </c>
      <c r="F280" s="29" t="s">
        <v>67</v>
      </c>
      <c r="G280" s="29" t="s">
        <v>67</v>
      </c>
      <c r="H280" s="28" t="s">
        <v>1828</v>
      </c>
      <c r="I280" s="28" t="s">
        <v>71</v>
      </c>
      <c r="J280" s="28" t="s">
        <v>72</v>
      </c>
      <c r="K280" s="28"/>
      <c r="L280" s="28"/>
    </row>
    <row r="281" spans="1:12" ht="32.25" customHeight="1" x14ac:dyDescent="0.2">
      <c r="A281" s="28" t="s">
        <v>2181</v>
      </c>
      <c r="B281" s="28" t="s">
        <v>484</v>
      </c>
      <c r="C281" s="28" t="s">
        <v>1990</v>
      </c>
      <c r="D281" s="28" t="s">
        <v>1991</v>
      </c>
      <c r="E281" s="29" t="s">
        <v>67</v>
      </c>
      <c r="F281" s="29"/>
      <c r="G281" s="29"/>
      <c r="H281" s="28" t="s">
        <v>1992</v>
      </c>
      <c r="I281" s="28" t="s">
        <v>71</v>
      </c>
      <c r="J281" s="28" t="s">
        <v>72</v>
      </c>
      <c r="K281" s="28"/>
      <c r="L281" s="28"/>
    </row>
    <row r="282" spans="1:12" ht="21.75" customHeight="1" x14ac:dyDescent="0.2">
      <c r="A282" s="28" t="s">
        <v>2181</v>
      </c>
      <c r="B282" s="28" t="s">
        <v>2052</v>
      </c>
      <c r="C282" s="28" t="s">
        <v>961</v>
      </c>
      <c r="D282" s="28" t="s">
        <v>2183</v>
      </c>
      <c r="E282" s="29"/>
      <c r="F282" s="29" t="s">
        <v>67</v>
      </c>
      <c r="G282" s="29"/>
      <c r="H282" s="28" t="s">
        <v>2184</v>
      </c>
      <c r="I282" s="28" t="s">
        <v>71</v>
      </c>
      <c r="J282" s="28" t="s">
        <v>72</v>
      </c>
      <c r="K282" s="28"/>
      <c r="L282" s="28"/>
    </row>
    <row r="283" spans="1:12" ht="21.75" customHeight="1" x14ac:dyDescent="0.2">
      <c r="A283" s="28" t="s">
        <v>2181</v>
      </c>
      <c r="B283" s="28" t="s">
        <v>493</v>
      </c>
      <c r="C283" s="28" t="s">
        <v>230</v>
      </c>
      <c r="D283" s="28" t="s">
        <v>2185</v>
      </c>
      <c r="E283" s="29" t="s">
        <v>67</v>
      </c>
      <c r="F283" s="29"/>
      <c r="G283" s="29"/>
      <c r="H283" s="28" t="s">
        <v>2186</v>
      </c>
      <c r="I283" s="28" t="s">
        <v>71</v>
      </c>
      <c r="J283" s="28" t="s">
        <v>72</v>
      </c>
      <c r="K283" s="28"/>
      <c r="L283" s="28"/>
    </row>
    <row r="284" spans="1:12" ht="21.75" customHeight="1" x14ac:dyDescent="0.2">
      <c r="A284" s="28" t="s">
        <v>2181</v>
      </c>
      <c r="B284" s="28" t="s">
        <v>493</v>
      </c>
      <c r="C284" s="28" t="s">
        <v>1314</v>
      </c>
      <c r="D284" s="28" t="s">
        <v>2187</v>
      </c>
      <c r="E284" s="29" t="s">
        <v>67</v>
      </c>
      <c r="F284" s="29" t="s">
        <v>67</v>
      </c>
      <c r="G284" s="29" t="s">
        <v>67</v>
      </c>
      <c r="H284" s="28" t="s">
        <v>2188</v>
      </c>
      <c r="I284" s="28" t="s">
        <v>71</v>
      </c>
      <c r="J284" s="28" t="s">
        <v>72</v>
      </c>
      <c r="K284" s="28"/>
      <c r="L284" s="28"/>
    </row>
    <row r="285" spans="1:12" ht="32.25" customHeight="1" x14ac:dyDescent="0.2">
      <c r="A285" s="28" t="s">
        <v>2181</v>
      </c>
      <c r="B285" s="28" t="s">
        <v>496</v>
      </c>
      <c r="C285" s="28" t="s">
        <v>2189</v>
      </c>
      <c r="D285" s="28" t="s">
        <v>2190</v>
      </c>
      <c r="E285" s="29"/>
      <c r="F285" s="29"/>
      <c r="G285" s="29"/>
      <c r="H285" s="28" t="s">
        <v>2191</v>
      </c>
      <c r="I285" s="28" t="s">
        <v>71</v>
      </c>
      <c r="J285" s="28" t="s">
        <v>72</v>
      </c>
      <c r="K285" s="28"/>
      <c r="L285" s="28"/>
    </row>
    <row r="286" spans="1:12" ht="15" customHeight="1" x14ac:dyDescent="0.2">
      <c r="A286" s="6" t="s">
        <v>2192</v>
      </c>
      <c r="B286" s="6"/>
      <c r="C286" s="6"/>
      <c r="D286" s="6"/>
      <c r="E286" s="6"/>
      <c r="F286" s="6"/>
      <c r="G286" s="6"/>
      <c r="H286" s="6"/>
      <c r="I286" s="6"/>
      <c r="J286" s="6"/>
      <c r="K286" s="6"/>
      <c r="L286" s="6"/>
    </row>
    <row r="287" spans="1:12" ht="21.75" customHeight="1" x14ac:dyDescent="0.2">
      <c r="A287" s="28" t="s">
        <v>2193</v>
      </c>
      <c r="B287" s="28" t="s">
        <v>2050</v>
      </c>
      <c r="C287" s="28" t="s">
        <v>84</v>
      </c>
      <c r="D287" s="28" t="s">
        <v>65</v>
      </c>
      <c r="E287" s="29" t="s">
        <v>67</v>
      </c>
      <c r="F287" s="29" t="s">
        <v>67</v>
      </c>
      <c r="G287" s="29" t="s">
        <v>67</v>
      </c>
      <c r="H287" s="28" t="s">
        <v>85</v>
      </c>
      <c r="I287" s="28" t="s">
        <v>71</v>
      </c>
      <c r="J287" s="28" t="s">
        <v>72</v>
      </c>
      <c r="K287" s="28"/>
      <c r="L287" s="28"/>
    </row>
    <row r="288" spans="1:12" ht="15" customHeight="1" x14ac:dyDescent="0.2">
      <c r="A288" s="28" t="s">
        <v>2193</v>
      </c>
      <c r="B288" s="28" t="s">
        <v>2050</v>
      </c>
      <c r="C288" s="28" t="s">
        <v>88</v>
      </c>
      <c r="D288" s="28" t="s">
        <v>74</v>
      </c>
      <c r="E288" s="29" t="s">
        <v>67</v>
      </c>
      <c r="F288" s="29" t="s">
        <v>67</v>
      </c>
      <c r="G288" s="29" t="s">
        <v>67</v>
      </c>
      <c r="H288" s="28" t="s">
        <v>89</v>
      </c>
      <c r="I288" s="28" t="s">
        <v>71</v>
      </c>
      <c r="J288" s="28" t="s">
        <v>72</v>
      </c>
      <c r="K288" s="28"/>
      <c r="L288" s="28"/>
    </row>
    <row r="289" spans="1:12" ht="32.25" customHeight="1" x14ac:dyDescent="0.2">
      <c r="A289" s="28" t="s">
        <v>2193</v>
      </c>
      <c r="B289" s="28" t="s">
        <v>2050</v>
      </c>
      <c r="C289" s="28" t="s">
        <v>213</v>
      </c>
      <c r="D289" s="28" t="s">
        <v>214</v>
      </c>
      <c r="E289" s="29"/>
      <c r="F289" s="29"/>
      <c r="G289" s="29"/>
      <c r="H289" s="28" t="s">
        <v>215</v>
      </c>
      <c r="I289" s="28" t="s">
        <v>71</v>
      </c>
      <c r="J289" s="28" t="s">
        <v>72</v>
      </c>
      <c r="K289" s="28"/>
      <c r="L289" s="28"/>
    </row>
    <row r="290" spans="1:12" ht="32.25" customHeight="1" x14ac:dyDescent="0.2">
      <c r="A290" s="28" t="s">
        <v>2193</v>
      </c>
      <c r="B290" s="28" t="s">
        <v>461</v>
      </c>
      <c r="C290" s="28" t="s">
        <v>590</v>
      </c>
      <c r="D290" s="28" t="s">
        <v>591</v>
      </c>
      <c r="E290" s="29"/>
      <c r="F290" s="29" t="s">
        <v>67</v>
      </c>
      <c r="G290" s="29"/>
      <c r="H290" s="28" t="s">
        <v>593</v>
      </c>
      <c r="I290" s="28" t="s">
        <v>71</v>
      </c>
      <c r="J290" s="28" t="s">
        <v>72</v>
      </c>
      <c r="K290" s="28"/>
      <c r="L290" s="28"/>
    </row>
    <row r="291" spans="1:12" ht="32.25" customHeight="1" x14ac:dyDescent="0.2">
      <c r="A291" s="28" t="s">
        <v>2193</v>
      </c>
      <c r="B291" s="28" t="s">
        <v>467</v>
      </c>
      <c r="C291" s="28" t="s">
        <v>888</v>
      </c>
      <c r="D291" s="28" t="s">
        <v>889</v>
      </c>
      <c r="E291" s="29"/>
      <c r="F291" s="29"/>
      <c r="G291" s="29"/>
      <c r="H291" s="28" t="s">
        <v>890</v>
      </c>
      <c r="I291" s="28" t="s">
        <v>71</v>
      </c>
      <c r="J291" s="28" t="s">
        <v>72</v>
      </c>
      <c r="K291" s="28"/>
      <c r="L291" s="28"/>
    </row>
    <row r="292" spans="1:12" ht="42.75" customHeight="1" x14ac:dyDescent="0.2">
      <c r="A292" s="28" t="s">
        <v>2193</v>
      </c>
      <c r="B292" s="28" t="s">
        <v>467</v>
      </c>
      <c r="C292" s="28" t="s">
        <v>892</v>
      </c>
      <c r="D292" s="28" t="s">
        <v>893</v>
      </c>
      <c r="E292" s="29"/>
      <c r="F292" s="29"/>
      <c r="G292" s="29"/>
      <c r="H292" s="28" t="s">
        <v>894</v>
      </c>
      <c r="I292" s="28" t="s">
        <v>71</v>
      </c>
      <c r="J292" s="28" t="s">
        <v>72</v>
      </c>
      <c r="K292" s="28"/>
      <c r="L292" s="28"/>
    </row>
    <row r="293" spans="1:12" ht="21.75" customHeight="1" x14ac:dyDescent="0.2">
      <c r="A293" s="28" t="s">
        <v>2193</v>
      </c>
      <c r="B293" s="28" t="s">
        <v>470</v>
      </c>
      <c r="C293" s="28" t="s">
        <v>943</v>
      </c>
      <c r="D293" s="28" t="s">
        <v>944</v>
      </c>
      <c r="E293" s="29"/>
      <c r="F293" s="29"/>
      <c r="G293" s="29"/>
      <c r="H293" s="28" t="s">
        <v>945</v>
      </c>
      <c r="I293" s="28" t="s">
        <v>71</v>
      </c>
      <c r="J293" s="28" t="s">
        <v>72</v>
      </c>
      <c r="K293" s="28"/>
      <c r="L293" s="28"/>
    </row>
    <row r="294" spans="1:12" ht="21.75" customHeight="1" x14ac:dyDescent="0.2">
      <c r="A294" s="28" t="s">
        <v>2193</v>
      </c>
      <c r="B294" s="28" t="s">
        <v>470</v>
      </c>
      <c r="C294" s="28" t="s">
        <v>986</v>
      </c>
      <c r="D294" s="28" t="s">
        <v>987</v>
      </c>
      <c r="E294" s="29"/>
      <c r="F294" s="29"/>
      <c r="G294" s="29"/>
      <c r="H294" s="28" t="s">
        <v>988</v>
      </c>
      <c r="I294" s="28" t="s">
        <v>71</v>
      </c>
      <c r="J294" s="28" t="s">
        <v>72</v>
      </c>
      <c r="K294" s="28"/>
      <c r="L294" s="28"/>
    </row>
    <row r="295" spans="1:12" ht="21.75" customHeight="1" x14ac:dyDescent="0.2">
      <c r="A295" s="28" t="s">
        <v>2193</v>
      </c>
      <c r="B295" s="28" t="s">
        <v>2051</v>
      </c>
      <c r="C295" s="28" t="s">
        <v>213</v>
      </c>
      <c r="D295" s="28" t="s">
        <v>214</v>
      </c>
      <c r="E295" s="29"/>
      <c r="F295" s="29"/>
      <c r="G295" s="29"/>
      <c r="H295" s="28" t="s">
        <v>1025</v>
      </c>
      <c r="I295" s="28" t="s">
        <v>71</v>
      </c>
      <c r="J295" s="28" t="s">
        <v>72</v>
      </c>
      <c r="K295" s="28"/>
      <c r="L295" s="28"/>
    </row>
    <row r="296" spans="1:12" ht="32.25" customHeight="1" x14ac:dyDescent="0.2">
      <c r="A296" s="28" t="s">
        <v>2193</v>
      </c>
      <c r="B296" s="28" t="s">
        <v>2051</v>
      </c>
      <c r="C296" s="28" t="s">
        <v>73</v>
      </c>
      <c r="D296" s="28" t="s">
        <v>1030</v>
      </c>
      <c r="E296" s="29" t="s">
        <v>67</v>
      </c>
      <c r="F296" s="29" t="s">
        <v>67</v>
      </c>
      <c r="G296" s="29" t="s">
        <v>67</v>
      </c>
      <c r="H296" s="28" t="s">
        <v>2194</v>
      </c>
      <c r="I296" s="28" t="s">
        <v>71</v>
      </c>
      <c r="J296" s="28" t="s">
        <v>72</v>
      </c>
      <c r="K296" s="28"/>
      <c r="L296" s="28"/>
    </row>
    <row r="297" spans="1:12" ht="15" customHeight="1" x14ac:dyDescent="0.2">
      <c r="A297" s="28" t="s">
        <v>2193</v>
      </c>
      <c r="B297" s="28" t="s">
        <v>2051</v>
      </c>
      <c r="C297" s="28" t="s">
        <v>84</v>
      </c>
      <c r="D297" s="28" t="s">
        <v>1026</v>
      </c>
      <c r="E297" s="29" t="s">
        <v>67</v>
      </c>
      <c r="F297" s="29" t="s">
        <v>67</v>
      </c>
      <c r="G297" s="29" t="s">
        <v>67</v>
      </c>
      <c r="H297" s="28" t="s">
        <v>1058</v>
      </c>
      <c r="I297" s="28" t="s">
        <v>71</v>
      </c>
      <c r="J297" s="28" t="s">
        <v>72</v>
      </c>
      <c r="K297" s="28"/>
      <c r="L297" s="28"/>
    </row>
    <row r="298" spans="1:12" ht="15" customHeight="1" x14ac:dyDescent="0.2">
      <c r="A298" s="28" t="s">
        <v>2193</v>
      </c>
      <c r="B298" s="28" t="s">
        <v>2051</v>
      </c>
      <c r="C298" s="28" t="s">
        <v>88</v>
      </c>
      <c r="D298" s="28" t="s">
        <v>1030</v>
      </c>
      <c r="E298" s="29" t="s">
        <v>67</v>
      </c>
      <c r="F298" s="29" t="s">
        <v>67</v>
      </c>
      <c r="G298" s="29" t="s">
        <v>67</v>
      </c>
      <c r="H298" s="28" t="s">
        <v>1060</v>
      </c>
      <c r="I298" s="28" t="s">
        <v>71</v>
      </c>
      <c r="J298" s="28" t="s">
        <v>72</v>
      </c>
      <c r="K298" s="28"/>
      <c r="L298" s="28"/>
    </row>
    <row r="299" spans="1:12" ht="21.75" customHeight="1" x14ac:dyDescent="0.2">
      <c r="A299" s="28" t="s">
        <v>2193</v>
      </c>
      <c r="B299" s="28" t="s">
        <v>484</v>
      </c>
      <c r="C299" s="28" t="s">
        <v>934</v>
      </c>
      <c r="D299" s="28" t="s">
        <v>1980</v>
      </c>
      <c r="E299" s="29"/>
      <c r="F299" s="29"/>
      <c r="G299" s="29"/>
      <c r="H299" s="28" t="s">
        <v>1981</v>
      </c>
      <c r="I299" s="28" t="s">
        <v>71</v>
      </c>
      <c r="J299" s="28" t="s">
        <v>72</v>
      </c>
      <c r="K299" s="28"/>
      <c r="L299" s="28"/>
    </row>
    <row r="300" spans="1:12" ht="32.25" customHeight="1" x14ac:dyDescent="0.2">
      <c r="A300" s="28" t="s">
        <v>2193</v>
      </c>
      <c r="B300" s="28" t="s">
        <v>484</v>
      </c>
      <c r="C300" s="28" t="s">
        <v>986</v>
      </c>
      <c r="D300" s="28" t="s">
        <v>2037</v>
      </c>
      <c r="E300" s="29"/>
      <c r="F300" s="29"/>
      <c r="G300" s="29"/>
      <c r="H300" s="28" t="s">
        <v>2038</v>
      </c>
      <c r="I300" s="28" t="s">
        <v>71</v>
      </c>
      <c r="J300" s="28" t="s">
        <v>72</v>
      </c>
      <c r="K300" s="28"/>
      <c r="L300" s="28"/>
    </row>
    <row r="301" spans="1:12" ht="21.75" customHeight="1" x14ac:dyDescent="0.2">
      <c r="A301" s="28" t="s">
        <v>2193</v>
      </c>
      <c r="B301" s="28" t="s">
        <v>493</v>
      </c>
      <c r="C301" s="28" t="s">
        <v>972</v>
      </c>
      <c r="D301" s="28" t="s">
        <v>2195</v>
      </c>
      <c r="E301" s="29"/>
      <c r="F301" s="29"/>
      <c r="G301" s="29"/>
      <c r="H301" s="28" t="s">
        <v>2196</v>
      </c>
      <c r="I301" s="28" t="s">
        <v>71</v>
      </c>
      <c r="J301" s="28" t="s">
        <v>72</v>
      </c>
      <c r="K301" s="28"/>
      <c r="L301" s="28"/>
    </row>
    <row r="302" spans="1:12" ht="32.25" customHeight="1" x14ac:dyDescent="0.2">
      <c r="A302" s="28" t="s">
        <v>2193</v>
      </c>
      <c r="B302" s="28" t="s">
        <v>493</v>
      </c>
      <c r="C302" s="28" t="s">
        <v>1261</v>
      </c>
      <c r="D302" s="28" t="s">
        <v>2197</v>
      </c>
      <c r="E302" s="29" t="s">
        <v>67</v>
      </c>
      <c r="F302" s="29" t="s">
        <v>67</v>
      </c>
      <c r="G302" s="29" t="s">
        <v>67</v>
      </c>
      <c r="H302" s="28" t="s">
        <v>2198</v>
      </c>
      <c r="I302" s="28" t="s">
        <v>71</v>
      </c>
      <c r="J302" s="28" t="s">
        <v>72</v>
      </c>
      <c r="K302" s="28"/>
      <c r="L302" s="28"/>
    </row>
    <row r="303" spans="1:12" ht="32.25" customHeight="1" x14ac:dyDescent="0.2">
      <c r="A303" s="28" t="s">
        <v>2193</v>
      </c>
      <c r="B303" s="28" t="s">
        <v>502</v>
      </c>
      <c r="C303" s="28" t="s">
        <v>2199</v>
      </c>
      <c r="D303" s="28" t="s">
        <v>2200</v>
      </c>
      <c r="E303" s="29"/>
      <c r="F303" s="29"/>
      <c r="G303" s="29"/>
      <c r="H303" s="28" t="s">
        <v>2201</v>
      </c>
      <c r="I303" s="28" t="s">
        <v>71</v>
      </c>
      <c r="J303" s="28" t="s">
        <v>72</v>
      </c>
      <c r="K303" s="28"/>
      <c r="L303" s="28"/>
    </row>
    <row r="304" spans="1:12" ht="32.25" customHeight="1" x14ac:dyDescent="0.2">
      <c r="A304" s="28" t="s">
        <v>2193</v>
      </c>
      <c r="B304" s="28" t="s">
        <v>508</v>
      </c>
      <c r="C304" s="28" t="s">
        <v>94</v>
      </c>
      <c r="D304" s="28" t="s">
        <v>2202</v>
      </c>
      <c r="E304" s="29" t="s">
        <v>67</v>
      </c>
      <c r="F304" s="29" t="s">
        <v>67</v>
      </c>
      <c r="G304" s="29" t="s">
        <v>67</v>
      </c>
      <c r="H304" s="28" t="s">
        <v>2203</v>
      </c>
      <c r="I304" s="28" t="s">
        <v>71</v>
      </c>
      <c r="J304" s="28" t="s">
        <v>72</v>
      </c>
      <c r="K304" s="28"/>
      <c r="L304" s="28"/>
    </row>
    <row r="305" spans="1:12" ht="15" customHeight="1" x14ac:dyDescent="0.2">
      <c r="A305" s="6" t="s">
        <v>2204</v>
      </c>
      <c r="B305" s="6"/>
      <c r="C305" s="6"/>
      <c r="D305" s="6"/>
      <c r="E305" s="6"/>
      <c r="F305" s="6"/>
      <c r="G305" s="6"/>
      <c r="H305" s="6"/>
      <c r="I305" s="6"/>
      <c r="J305" s="6"/>
      <c r="K305" s="6"/>
      <c r="L305" s="6"/>
    </row>
    <row r="306" spans="1:12" ht="32.25" customHeight="1" x14ac:dyDescent="0.2">
      <c r="A306" s="28" t="s">
        <v>2205</v>
      </c>
      <c r="B306" s="28" t="s">
        <v>502</v>
      </c>
      <c r="C306" s="28" t="s">
        <v>2206</v>
      </c>
      <c r="D306" s="28" t="s">
        <v>2207</v>
      </c>
      <c r="E306" s="29" t="s">
        <v>67</v>
      </c>
      <c r="F306" s="29" t="s">
        <v>67</v>
      </c>
      <c r="G306" s="29" t="s">
        <v>67</v>
      </c>
      <c r="H306" s="28" t="s">
        <v>2208</v>
      </c>
      <c r="I306" s="28" t="s">
        <v>71</v>
      </c>
      <c r="J306" s="28" t="s">
        <v>72</v>
      </c>
      <c r="K306" s="28"/>
      <c r="L306" s="28"/>
    </row>
    <row r="307" spans="1:12" ht="32.25" customHeight="1" x14ac:dyDescent="0.2">
      <c r="A307" s="28" t="s">
        <v>2205</v>
      </c>
      <c r="B307" s="28" t="s">
        <v>502</v>
      </c>
      <c r="C307" s="28" t="s">
        <v>2209</v>
      </c>
      <c r="D307" s="28" t="s">
        <v>2210</v>
      </c>
      <c r="E307" s="29" t="s">
        <v>67</v>
      </c>
      <c r="F307" s="29" t="s">
        <v>67</v>
      </c>
      <c r="G307" s="29" t="s">
        <v>67</v>
      </c>
      <c r="H307" s="28" t="s">
        <v>2211</v>
      </c>
      <c r="I307" s="28" t="s">
        <v>71</v>
      </c>
      <c r="J307" s="28" t="s">
        <v>72</v>
      </c>
      <c r="K307" s="28"/>
      <c r="L307" s="28"/>
    </row>
    <row r="308" spans="1:12" ht="21.75" customHeight="1" x14ac:dyDescent="0.2">
      <c r="A308" s="28" t="s">
        <v>2205</v>
      </c>
      <c r="B308" s="28" t="s">
        <v>502</v>
      </c>
      <c r="C308" s="28" t="s">
        <v>2212</v>
      </c>
      <c r="D308" s="28" t="s">
        <v>2213</v>
      </c>
      <c r="E308" s="29"/>
      <c r="F308" s="29"/>
      <c r="G308" s="29"/>
      <c r="H308" s="28" t="s">
        <v>2214</v>
      </c>
      <c r="I308" s="28" t="s">
        <v>71</v>
      </c>
      <c r="J308" s="28" t="s">
        <v>72</v>
      </c>
      <c r="K308" s="28"/>
      <c r="L308" s="28"/>
    </row>
    <row r="309" spans="1:12" ht="21.75" customHeight="1" x14ac:dyDescent="0.2">
      <c r="A309" s="28" t="s">
        <v>2205</v>
      </c>
      <c r="B309" s="28" t="s">
        <v>502</v>
      </c>
      <c r="C309" s="28" t="s">
        <v>2215</v>
      </c>
      <c r="D309" s="28" t="s">
        <v>2216</v>
      </c>
      <c r="E309" s="29" t="s">
        <v>67</v>
      </c>
      <c r="F309" s="29"/>
      <c r="G309" s="29"/>
      <c r="H309" s="28" t="s">
        <v>2217</v>
      </c>
      <c r="I309" s="28" t="s">
        <v>71</v>
      </c>
      <c r="J309" s="28" t="s">
        <v>72</v>
      </c>
      <c r="K309" s="28"/>
      <c r="L309" s="28"/>
    </row>
    <row r="310" spans="1:12" ht="21.75" customHeight="1" x14ac:dyDescent="0.2">
      <c r="A310" s="28" t="s">
        <v>2205</v>
      </c>
      <c r="B310" s="28" t="s">
        <v>502</v>
      </c>
      <c r="C310" s="28" t="s">
        <v>2218</v>
      </c>
      <c r="D310" s="28" t="s">
        <v>2219</v>
      </c>
      <c r="E310" s="29" t="s">
        <v>67</v>
      </c>
      <c r="F310" s="29" t="s">
        <v>67</v>
      </c>
      <c r="G310" s="29" t="s">
        <v>67</v>
      </c>
      <c r="H310" s="28" t="s">
        <v>2220</v>
      </c>
      <c r="I310" s="28" t="s">
        <v>71</v>
      </c>
      <c r="J310" s="28" t="s">
        <v>72</v>
      </c>
      <c r="K310" s="28"/>
      <c r="L310" s="28"/>
    </row>
    <row r="311" spans="1:12" ht="21.75" customHeight="1" x14ac:dyDescent="0.2">
      <c r="A311" s="28" t="s">
        <v>2205</v>
      </c>
      <c r="B311" s="28" t="s">
        <v>502</v>
      </c>
      <c r="C311" s="28" t="s">
        <v>2221</v>
      </c>
      <c r="D311" s="28" t="s">
        <v>2222</v>
      </c>
      <c r="E311" s="29" t="s">
        <v>67</v>
      </c>
      <c r="F311" s="29" t="s">
        <v>67</v>
      </c>
      <c r="G311" s="29" t="s">
        <v>67</v>
      </c>
      <c r="H311" s="28" t="s">
        <v>2223</v>
      </c>
      <c r="I311" s="28" t="s">
        <v>71</v>
      </c>
      <c r="J311" s="28" t="s">
        <v>72</v>
      </c>
      <c r="K311" s="28"/>
      <c r="L311" s="28"/>
    </row>
    <row r="312" spans="1:12" ht="32.25" customHeight="1" x14ac:dyDescent="0.2">
      <c r="A312" s="28" t="s">
        <v>2205</v>
      </c>
      <c r="B312" s="28" t="s">
        <v>502</v>
      </c>
      <c r="C312" s="28" t="s">
        <v>2224</v>
      </c>
      <c r="D312" s="28" t="s">
        <v>2225</v>
      </c>
      <c r="E312" s="29" t="s">
        <v>67</v>
      </c>
      <c r="F312" s="29" t="s">
        <v>67</v>
      </c>
      <c r="G312" s="29" t="s">
        <v>67</v>
      </c>
      <c r="H312" s="28" t="s">
        <v>2226</v>
      </c>
      <c r="I312" s="28" t="s">
        <v>71</v>
      </c>
      <c r="J312" s="28" t="s">
        <v>72</v>
      </c>
      <c r="K312" s="28"/>
      <c r="L312" s="28"/>
    </row>
    <row r="313" spans="1:12" ht="32.25" customHeight="1" x14ac:dyDescent="0.2">
      <c r="A313" s="28" t="s">
        <v>2205</v>
      </c>
      <c r="B313" s="28" t="s">
        <v>502</v>
      </c>
      <c r="C313" s="28" t="s">
        <v>2227</v>
      </c>
      <c r="D313" s="28" t="s">
        <v>2228</v>
      </c>
      <c r="E313" s="29" t="s">
        <v>67</v>
      </c>
      <c r="F313" s="29"/>
      <c r="G313" s="29"/>
      <c r="H313" s="28" t="s">
        <v>2229</v>
      </c>
      <c r="I313" s="28" t="s">
        <v>71</v>
      </c>
      <c r="J313" s="28" t="s">
        <v>72</v>
      </c>
      <c r="K313" s="28"/>
      <c r="L313" s="28"/>
    </row>
    <row r="314" spans="1:12" ht="21.75" customHeight="1" x14ac:dyDescent="0.2">
      <c r="A314" s="28" t="s">
        <v>2205</v>
      </c>
      <c r="B314" s="28" t="s">
        <v>502</v>
      </c>
      <c r="C314" s="28" t="s">
        <v>2230</v>
      </c>
      <c r="D314" s="28" t="s">
        <v>2231</v>
      </c>
      <c r="E314" s="29"/>
      <c r="F314" s="29"/>
      <c r="G314" s="29"/>
      <c r="H314" s="28" t="s">
        <v>2232</v>
      </c>
      <c r="I314" s="28" t="s">
        <v>71</v>
      </c>
      <c r="J314" s="28" t="s">
        <v>72</v>
      </c>
      <c r="K314" s="28"/>
      <c r="L314" s="28"/>
    </row>
    <row r="315" spans="1:12" ht="21.75" customHeight="1" x14ac:dyDescent="0.2">
      <c r="A315" s="28" t="s">
        <v>2205</v>
      </c>
      <c r="B315" s="28" t="s">
        <v>502</v>
      </c>
      <c r="C315" s="28" t="s">
        <v>2233</v>
      </c>
      <c r="D315" s="28" t="s">
        <v>2234</v>
      </c>
      <c r="E315" s="29"/>
      <c r="F315" s="29"/>
      <c r="G315" s="29"/>
      <c r="H315" s="28" t="s">
        <v>2235</v>
      </c>
      <c r="I315" s="28" t="s">
        <v>71</v>
      </c>
      <c r="J315" s="28" t="s">
        <v>72</v>
      </c>
      <c r="K315" s="28"/>
      <c r="L315" s="28"/>
    </row>
    <row r="316" spans="1:12" ht="21.75" customHeight="1" x14ac:dyDescent="0.2">
      <c r="A316" s="28" t="s">
        <v>2205</v>
      </c>
      <c r="B316" s="28" t="s">
        <v>502</v>
      </c>
      <c r="C316" s="28" t="s">
        <v>2236</v>
      </c>
      <c r="D316" s="28" t="s">
        <v>2237</v>
      </c>
      <c r="E316" s="29" t="s">
        <v>67</v>
      </c>
      <c r="F316" s="29" t="s">
        <v>67</v>
      </c>
      <c r="G316" s="29" t="s">
        <v>67</v>
      </c>
      <c r="H316" s="28" t="s">
        <v>2238</v>
      </c>
      <c r="I316" s="28" t="s">
        <v>71</v>
      </c>
      <c r="J316" s="28" t="s">
        <v>72</v>
      </c>
      <c r="K316" s="28"/>
      <c r="L316" s="28"/>
    </row>
    <row r="317" spans="1:12" ht="32.25" customHeight="1" x14ac:dyDescent="0.2">
      <c r="A317" s="28" t="s">
        <v>2205</v>
      </c>
      <c r="B317" s="28" t="s">
        <v>502</v>
      </c>
      <c r="C317" s="28" t="s">
        <v>2239</v>
      </c>
      <c r="D317" s="28" t="s">
        <v>2240</v>
      </c>
      <c r="E317" s="29" t="s">
        <v>67</v>
      </c>
      <c r="F317" s="29" t="s">
        <v>67</v>
      </c>
      <c r="G317" s="29" t="s">
        <v>67</v>
      </c>
      <c r="H317" s="28" t="s">
        <v>2241</v>
      </c>
      <c r="I317" s="28" t="s">
        <v>71</v>
      </c>
      <c r="J317" s="28" t="s">
        <v>72</v>
      </c>
      <c r="K317" s="28"/>
      <c r="L317" s="28"/>
    </row>
    <row r="318" spans="1:12" ht="21.75" customHeight="1" x14ac:dyDescent="0.2">
      <c r="A318" s="28" t="s">
        <v>2205</v>
      </c>
      <c r="B318" s="28" t="s">
        <v>502</v>
      </c>
      <c r="C318" s="28" t="s">
        <v>2242</v>
      </c>
      <c r="D318" s="28" t="s">
        <v>2243</v>
      </c>
      <c r="E318" s="29" t="s">
        <v>67</v>
      </c>
      <c r="F318" s="29" t="s">
        <v>67</v>
      </c>
      <c r="G318" s="29" t="s">
        <v>67</v>
      </c>
      <c r="H318" s="28" t="s">
        <v>2244</v>
      </c>
      <c r="I318" s="28" t="s">
        <v>71</v>
      </c>
      <c r="J318" s="28" t="s">
        <v>72</v>
      </c>
      <c r="K318" s="28"/>
      <c r="L318" s="28"/>
    </row>
    <row r="319" spans="1:12" ht="21.75" customHeight="1" x14ac:dyDescent="0.2">
      <c r="A319" s="28" t="s">
        <v>2205</v>
      </c>
      <c r="B319" s="28" t="s">
        <v>502</v>
      </c>
      <c r="C319" s="28" t="s">
        <v>2245</v>
      </c>
      <c r="D319" s="28" t="s">
        <v>2246</v>
      </c>
      <c r="E319" s="29" t="s">
        <v>67</v>
      </c>
      <c r="F319" s="29" t="s">
        <v>67</v>
      </c>
      <c r="G319" s="29" t="s">
        <v>67</v>
      </c>
      <c r="H319" s="28" t="s">
        <v>2247</v>
      </c>
      <c r="I319" s="28" t="s">
        <v>71</v>
      </c>
      <c r="J319" s="28" t="s">
        <v>72</v>
      </c>
      <c r="K319" s="28"/>
      <c r="L319" s="28"/>
    </row>
    <row r="320" spans="1:12" ht="32.25" customHeight="1" x14ac:dyDescent="0.2">
      <c r="A320" s="28" t="s">
        <v>2205</v>
      </c>
      <c r="B320" s="28" t="s">
        <v>502</v>
      </c>
      <c r="C320" s="28" t="s">
        <v>2248</v>
      </c>
      <c r="D320" s="28" t="s">
        <v>2249</v>
      </c>
      <c r="E320" s="29" t="s">
        <v>67</v>
      </c>
      <c r="F320" s="29" t="s">
        <v>67</v>
      </c>
      <c r="G320" s="29" t="s">
        <v>67</v>
      </c>
      <c r="H320" s="28" t="s">
        <v>2250</v>
      </c>
      <c r="I320" s="28" t="s">
        <v>71</v>
      </c>
      <c r="J320" s="28" t="s">
        <v>72</v>
      </c>
      <c r="K320" s="28"/>
      <c r="L320" s="28"/>
    </row>
    <row r="321" spans="1:12" ht="32.25" customHeight="1" x14ac:dyDescent="0.2">
      <c r="A321" s="28" t="s">
        <v>2205</v>
      </c>
      <c r="B321" s="28" t="s">
        <v>502</v>
      </c>
      <c r="C321" s="28" t="s">
        <v>2251</v>
      </c>
      <c r="D321" s="28" t="s">
        <v>2252</v>
      </c>
      <c r="E321" s="29"/>
      <c r="F321" s="29"/>
      <c r="G321" s="29"/>
      <c r="H321" s="28" t="s">
        <v>2253</v>
      </c>
      <c r="I321" s="28" t="s">
        <v>71</v>
      </c>
      <c r="J321" s="28" t="s">
        <v>72</v>
      </c>
      <c r="K321" s="28"/>
      <c r="L321" s="28"/>
    </row>
    <row r="322" spans="1:12" ht="32.25" customHeight="1" x14ac:dyDescent="0.2">
      <c r="A322" s="28" t="s">
        <v>2205</v>
      </c>
      <c r="B322" s="28" t="s">
        <v>502</v>
      </c>
      <c r="C322" s="28" t="s">
        <v>2254</v>
      </c>
      <c r="D322" s="28" t="s">
        <v>2255</v>
      </c>
      <c r="E322" s="29"/>
      <c r="F322" s="29"/>
      <c r="G322" s="29"/>
      <c r="H322" s="28" t="s">
        <v>2256</v>
      </c>
      <c r="I322" s="28" t="s">
        <v>71</v>
      </c>
      <c r="J322" s="28" t="s">
        <v>72</v>
      </c>
      <c r="K322" s="28"/>
      <c r="L322" s="28"/>
    </row>
    <row r="323" spans="1:12" ht="15" customHeight="1" x14ac:dyDescent="0.2">
      <c r="A323" s="6" t="s">
        <v>2257</v>
      </c>
      <c r="B323" s="6"/>
      <c r="C323" s="6"/>
      <c r="D323" s="6"/>
      <c r="E323" s="6"/>
      <c r="F323" s="6"/>
      <c r="G323" s="6"/>
      <c r="H323" s="6"/>
      <c r="I323" s="6"/>
      <c r="J323" s="6"/>
      <c r="K323" s="6"/>
      <c r="L323" s="6"/>
    </row>
    <row r="324" spans="1:12" ht="21.75" customHeight="1" x14ac:dyDescent="0.2">
      <c r="A324" s="28" t="s">
        <v>2258</v>
      </c>
      <c r="B324" s="28" t="s">
        <v>2051</v>
      </c>
      <c r="C324" s="28" t="s">
        <v>1225</v>
      </c>
      <c r="D324" s="28" t="s">
        <v>1226</v>
      </c>
      <c r="E324" s="29" t="s">
        <v>67</v>
      </c>
      <c r="F324" s="29"/>
      <c r="G324" s="29"/>
      <c r="H324" s="28" t="s">
        <v>1227</v>
      </c>
      <c r="I324" s="28" t="s">
        <v>71</v>
      </c>
      <c r="J324" s="28" t="s">
        <v>72</v>
      </c>
      <c r="K324" s="28"/>
      <c r="L324" s="28"/>
    </row>
    <row r="325" spans="1:12" ht="21.75" customHeight="1" x14ac:dyDescent="0.2">
      <c r="A325" s="28" t="s">
        <v>2258</v>
      </c>
      <c r="B325" s="28" t="s">
        <v>479</v>
      </c>
      <c r="C325" s="28" t="s">
        <v>559</v>
      </c>
      <c r="D325" s="28" t="s">
        <v>555</v>
      </c>
      <c r="E325" s="29"/>
      <c r="F325" s="29"/>
      <c r="G325" s="29"/>
      <c r="H325" s="28" t="s">
        <v>1752</v>
      </c>
      <c r="I325" s="28" t="s">
        <v>71</v>
      </c>
      <c r="J325" s="28" t="s">
        <v>72</v>
      </c>
      <c r="K325" s="28"/>
      <c r="L325" s="28"/>
    </row>
    <row r="326" spans="1:12" ht="21.75" customHeight="1" x14ac:dyDescent="0.2">
      <c r="A326" s="28" t="s">
        <v>2258</v>
      </c>
      <c r="B326" s="28" t="s">
        <v>479</v>
      </c>
      <c r="C326" s="28" t="s">
        <v>573</v>
      </c>
      <c r="D326" s="28" t="s">
        <v>1762</v>
      </c>
      <c r="E326" s="29"/>
      <c r="F326" s="29"/>
      <c r="G326" s="29"/>
      <c r="H326" s="28" t="s">
        <v>1763</v>
      </c>
      <c r="I326" s="28" t="s">
        <v>71</v>
      </c>
      <c r="J326" s="28" t="s">
        <v>72</v>
      </c>
      <c r="K326" s="28"/>
      <c r="L326" s="28"/>
    </row>
    <row r="327" spans="1:12" ht="21.75" customHeight="1" x14ac:dyDescent="0.2">
      <c r="A327" s="28" t="s">
        <v>2258</v>
      </c>
      <c r="B327" s="28" t="s">
        <v>479</v>
      </c>
      <c r="C327" s="28" t="s">
        <v>578</v>
      </c>
      <c r="D327" s="28" t="s">
        <v>1765</v>
      </c>
      <c r="E327" s="29"/>
      <c r="F327" s="29"/>
      <c r="G327" s="29"/>
      <c r="H327" s="28" t="s">
        <v>1766</v>
      </c>
      <c r="I327" s="28" t="s">
        <v>71</v>
      </c>
      <c r="J327" s="28" t="s">
        <v>72</v>
      </c>
      <c r="K327" s="28"/>
      <c r="L327" s="28"/>
    </row>
    <row r="328" spans="1:12" ht="21.75" customHeight="1" x14ac:dyDescent="0.2">
      <c r="A328" s="28" t="s">
        <v>2258</v>
      </c>
      <c r="B328" s="28" t="s">
        <v>479</v>
      </c>
      <c r="C328" s="28" t="s">
        <v>585</v>
      </c>
      <c r="D328" s="28" t="s">
        <v>1768</v>
      </c>
      <c r="E328" s="29"/>
      <c r="F328" s="29"/>
      <c r="G328" s="29"/>
      <c r="H328" s="28" t="s">
        <v>1769</v>
      </c>
      <c r="I328" s="28" t="s">
        <v>71</v>
      </c>
      <c r="J328" s="28" t="s">
        <v>72</v>
      </c>
      <c r="K328" s="28"/>
      <c r="L328" s="28"/>
    </row>
    <row r="329" spans="1:12" ht="21.75" customHeight="1" x14ac:dyDescent="0.2">
      <c r="A329" s="28" t="s">
        <v>2258</v>
      </c>
      <c r="B329" s="28" t="s">
        <v>479</v>
      </c>
      <c r="C329" s="28" t="s">
        <v>590</v>
      </c>
      <c r="D329" s="28" t="s">
        <v>1771</v>
      </c>
      <c r="E329" s="29" t="s">
        <v>67</v>
      </c>
      <c r="F329" s="29"/>
      <c r="G329" s="29"/>
      <c r="H329" s="28" t="s">
        <v>1772</v>
      </c>
      <c r="I329" s="28" t="s">
        <v>71</v>
      </c>
      <c r="J329" s="28" t="s">
        <v>72</v>
      </c>
      <c r="K329" s="28"/>
      <c r="L329" s="28"/>
    </row>
    <row r="330" spans="1:12" ht="21.75" customHeight="1" x14ac:dyDescent="0.2">
      <c r="A330" s="28" t="s">
        <v>2258</v>
      </c>
      <c r="B330" s="28" t="s">
        <v>479</v>
      </c>
      <c r="C330" s="28" t="s">
        <v>596</v>
      </c>
      <c r="D330" s="28" t="s">
        <v>1775</v>
      </c>
      <c r="E330" s="29" t="s">
        <v>67</v>
      </c>
      <c r="F330" s="29"/>
      <c r="G330" s="29"/>
      <c r="H330" s="28" t="s">
        <v>1776</v>
      </c>
      <c r="I330" s="28" t="s">
        <v>71</v>
      </c>
      <c r="J330" s="28" t="s">
        <v>72</v>
      </c>
      <c r="K330" s="28"/>
      <c r="L330" s="28"/>
    </row>
    <row r="331" spans="1:12" ht="32.25" customHeight="1" x14ac:dyDescent="0.2">
      <c r="A331" s="28" t="s">
        <v>2258</v>
      </c>
      <c r="B331" s="28" t="s">
        <v>479</v>
      </c>
      <c r="C331" s="28" t="s">
        <v>678</v>
      </c>
      <c r="D331" s="28" t="s">
        <v>1816</v>
      </c>
      <c r="E331" s="29" t="s">
        <v>67</v>
      </c>
      <c r="F331" s="29"/>
      <c r="G331" s="29"/>
      <c r="H331" s="28" t="s">
        <v>1817</v>
      </c>
      <c r="I331" s="28" t="s">
        <v>71</v>
      </c>
      <c r="J331" s="28" t="s">
        <v>72</v>
      </c>
      <c r="K331" s="28"/>
      <c r="L331" s="28"/>
    </row>
    <row r="332" spans="1:12" ht="21.75" customHeight="1" x14ac:dyDescent="0.2">
      <c r="A332" s="28" t="s">
        <v>2258</v>
      </c>
      <c r="B332" s="28" t="s">
        <v>479</v>
      </c>
      <c r="C332" s="28" t="s">
        <v>1887</v>
      </c>
      <c r="D332" s="28" t="s">
        <v>1888</v>
      </c>
      <c r="E332" s="29"/>
      <c r="F332" s="29"/>
      <c r="G332" s="29"/>
      <c r="H332" s="28" t="s">
        <v>1889</v>
      </c>
      <c r="I332" s="28" t="s">
        <v>71</v>
      </c>
      <c r="J332" s="28" t="s">
        <v>72</v>
      </c>
      <c r="K332" s="28"/>
      <c r="L332" s="28"/>
    </row>
    <row r="333" spans="1:12" ht="21.75" customHeight="1" x14ac:dyDescent="0.2">
      <c r="A333" s="28" t="s">
        <v>2258</v>
      </c>
      <c r="B333" s="28" t="s">
        <v>479</v>
      </c>
      <c r="C333" s="28" t="s">
        <v>1891</v>
      </c>
      <c r="D333" s="28" t="s">
        <v>1892</v>
      </c>
      <c r="E333" s="29" t="s">
        <v>67</v>
      </c>
      <c r="F333" s="29"/>
      <c r="G333" s="29"/>
      <c r="H333" s="28" t="s">
        <v>1893</v>
      </c>
      <c r="I333" s="28" t="s">
        <v>71</v>
      </c>
      <c r="J333" s="28" t="s">
        <v>72</v>
      </c>
      <c r="K333" s="28"/>
      <c r="L333" s="28"/>
    </row>
    <row r="334" spans="1:12" ht="21.75" customHeight="1" x14ac:dyDescent="0.2">
      <c r="A334" s="28" t="s">
        <v>2258</v>
      </c>
      <c r="B334" s="28" t="s">
        <v>479</v>
      </c>
      <c r="C334" s="28" t="s">
        <v>1896</v>
      </c>
      <c r="D334" s="28" t="s">
        <v>1897</v>
      </c>
      <c r="E334" s="29"/>
      <c r="F334" s="29"/>
      <c r="G334" s="29"/>
      <c r="H334" s="28" t="s">
        <v>1898</v>
      </c>
      <c r="I334" s="28" t="s">
        <v>71</v>
      </c>
      <c r="J334" s="28" t="s">
        <v>72</v>
      </c>
      <c r="K334" s="28"/>
      <c r="L334" s="28"/>
    </row>
    <row r="335" spans="1:12" ht="32.25" customHeight="1" x14ac:dyDescent="0.2">
      <c r="A335" s="28" t="s">
        <v>2258</v>
      </c>
      <c r="B335" s="28" t="s">
        <v>484</v>
      </c>
      <c r="C335" s="28" t="s">
        <v>1294</v>
      </c>
      <c r="D335" s="28" t="s">
        <v>2019</v>
      </c>
      <c r="E335" s="29" t="s">
        <v>67</v>
      </c>
      <c r="F335" s="29"/>
      <c r="G335" s="29"/>
      <c r="H335" s="28" t="s">
        <v>2020</v>
      </c>
      <c r="I335" s="28" t="s">
        <v>71</v>
      </c>
      <c r="J335" s="28" t="s">
        <v>72</v>
      </c>
      <c r="K335" s="28"/>
      <c r="L335" s="28"/>
    </row>
    <row r="336" spans="1:12" ht="32.25" customHeight="1" x14ac:dyDescent="0.2">
      <c r="A336" s="28" t="s">
        <v>2258</v>
      </c>
      <c r="B336" s="28" t="s">
        <v>484</v>
      </c>
      <c r="C336" s="28" t="s">
        <v>84</v>
      </c>
      <c r="D336" s="28" t="s">
        <v>2009</v>
      </c>
      <c r="E336" s="29"/>
      <c r="F336" s="29"/>
      <c r="G336" s="29"/>
      <c r="H336" s="28" t="s">
        <v>2024</v>
      </c>
      <c r="I336" s="28" t="s">
        <v>71</v>
      </c>
      <c r="J336" s="28" t="s">
        <v>72</v>
      </c>
      <c r="K336" s="28"/>
      <c r="L336" s="28"/>
    </row>
    <row r="337" spans="1:12" ht="32.25" customHeight="1" x14ac:dyDescent="0.2">
      <c r="A337" s="28" t="s">
        <v>2258</v>
      </c>
      <c r="B337" s="28" t="s">
        <v>484</v>
      </c>
      <c r="C337" s="28" t="s">
        <v>1362</v>
      </c>
      <c r="D337" s="28" t="s">
        <v>2019</v>
      </c>
      <c r="E337" s="29" t="s">
        <v>67</v>
      </c>
      <c r="F337" s="29" t="s">
        <v>67</v>
      </c>
      <c r="G337" s="29"/>
      <c r="H337" s="28" t="s">
        <v>2031</v>
      </c>
      <c r="I337" s="28" t="s">
        <v>71</v>
      </c>
      <c r="J337" s="28" t="s">
        <v>72</v>
      </c>
      <c r="K337" s="28"/>
      <c r="L337" s="28"/>
    </row>
    <row r="338" spans="1:12" ht="21.75" customHeight="1" x14ac:dyDescent="0.2">
      <c r="A338" s="28" t="s">
        <v>2258</v>
      </c>
      <c r="B338" s="28" t="s">
        <v>2052</v>
      </c>
      <c r="C338" s="28" t="s">
        <v>235</v>
      </c>
      <c r="D338" s="28" t="s">
        <v>2259</v>
      </c>
      <c r="E338" s="29"/>
      <c r="F338" s="29"/>
      <c r="G338" s="29"/>
      <c r="H338" s="28" t="s">
        <v>2260</v>
      </c>
      <c r="I338" s="28" t="s">
        <v>71</v>
      </c>
      <c r="J338" s="28" t="s">
        <v>72</v>
      </c>
      <c r="K338" s="28"/>
      <c r="L338" s="28"/>
    </row>
    <row r="339" spans="1:12" ht="21.75" customHeight="1" x14ac:dyDescent="0.2">
      <c r="A339" s="28" t="s">
        <v>2258</v>
      </c>
      <c r="B339" s="28" t="s">
        <v>2052</v>
      </c>
      <c r="C339" s="28" t="s">
        <v>241</v>
      </c>
      <c r="D339" s="28" t="s">
        <v>2261</v>
      </c>
      <c r="E339" s="29"/>
      <c r="F339" s="29"/>
      <c r="G339" s="29"/>
      <c r="H339" s="28" t="s">
        <v>2262</v>
      </c>
      <c r="I339" s="28" t="s">
        <v>71</v>
      </c>
      <c r="J339" s="28" t="s">
        <v>72</v>
      </c>
      <c r="K339" s="28"/>
      <c r="L339" s="28"/>
    </row>
    <row r="340" spans="1:12" ht="15" customHeight="1" x14ac:dyDescent="0.2">
      <c r="A340" s="6" t="s">
        <v>2263</v>
      </c>
      <c r="B340" s="6"/>
      <c r="C340" s="6"/>
      <c r="D340" s="6"/>
      <c r="E340" s="6"/>
      <c r="F340" s="6"/>
      <c r="G340" s="6"/>
      <c r="H340" s="6"/>
      <c r="I340" s="6"/>
      <c r="J340" s="6"/>
      <c r="K340" s="6"/>
      <c r="L340" s="6"/>
    </row>
    <row r="341" spans="1:12" ht="32.25" customHeight="1" x14ac:dyDescent="0.2">
      <c r="A341" s="28" t="s">
        <v>2264</v>
      </c>
      <c r="B341" s="28" t="s">
        <v>2050</v>
      </c>
      <c r="C341" s="28" t="s">
        <v>73</v>
      </c>
      <c r="D341" s="28" t="s">
        <v>74</v>
      </c>
      <c r="E341" s="29" t="s">
        <v>67</v>
      </c>
      <c r="F341" s="29" t="s">
        <v>67</v>
      </c>
      <c r="G341" s="29" t="s">
        <v>67</v>
      </c>
      <c r="H341" s="28" t="s">
        <v>75</v>
      </c>
      <c r="I341" s="28" t="s">
        <v>71</v>
      </c>
      <c r="J341" s="28" t="s">
        <v>72</v>
      </c>
      <c r="K341" s="28"/>
      <c r="L341" s="28"/>
    </row>
    <row r="342" spans="1:12" ht="21.75" customHeight="1" x14ac:dyDescent="0.2">
      <c r="A342" s="28" t="s">
        <v>2264</v>
      </c>
      <c r="B342" s="28" t="s">
        <v>2050</v>
      </c>
      <c r="C342" s="28" t="s">
        <v>387</v>
      </c>
      <c r="D342" s="28" t="s">
        <v>388</v>
      </c>
      <c r="E342" s="29"/>
      <c r="F342" s="29"/>
      <c r="G342" s="29"/>
      <c r="H342" s="28" t="s">
        <v>389</v>
      </c>
      <c r="I342" s="28" t="s">
        <v>71</v>
      </c>
      <c r="J342" s="28" t="s">
        <v>72</v>
      </c>
      <c r="K342" s="28"/>
      <c r="L342" s="28"/>
    </row>
    <row r="343" spans="1:12" ht="21.75" customHeight="1" x14ac:dyDescent="0.2">
      <c r="A343" s="28" t="s">
        <v>2264</v>
      </c>
      <c r="B343" s="28" t="s">
        <v>461</v>
      </c>
      <c r="C343" s="28" t="s">
        <v>585</v>
      </c>
      <c r="D343" s="28" t="s">
        <v>586</v>
      </c>
      <c r="E343" s="29"/>
      <c r="F343" s="29"/>
      <c r="G343" s="29"/>
      <c r="H343" s="28" t="s">
        <v>588</v>
      </c>
      <c r="I343" s="28" t="s">
        <v>71</v>
      </c>
      <c r="J343" s="28" t="s">
        <v>72</v>
      </c>
      <c r="K343" s="28"/>
      <c r="L343" s="28"/>
    </row>
    <row r="344" spans="1:12" ht="53.25" customHeight="1" x14ac:dyDescent="0.2">
      <c r="A344" s="28" t="s">
        <v>2264</v>
      </c>
      <c r="B344" s="28" t="s">
        <v>467</v>
      </c>
      <c r="C344" s="28" t="s">
        <v>817</v>
      </c>
      <c r="D344" s="28" t="s">
        <v>818</v>
      </c>
      <c r="E344" s="29"/>
      <c r="F344" s="29"/>
      <c r="G344" s="29"/>
      <c r="H344" s="28" t="s">
        <v>819</v>
      </c>
      <c r="I344" s="28" t="s">
        <v>71</v>
      </c>
      <c r="J344" s="28" t="s">
        <v>72</v>
      </c>
      <c r="K344" s="28"/>
      <c r="L344" s="28"/>
    </row>
    <row r="345" spans="1:12" ht="42.75" customHeight="1" x14ac:dyDescent="0.2">
      <c r="A345" s="28" t="s">
        <v>2264</v>
      </c>
      <c r="B345" s="28" t="s">
        <v>467</v>
      </c>
      <c r="C345" s="28" t="s">
        <v>845</v>
      </c>
      <c r="D345" s="28" t="s">
        <v>846</v>
      </c>
      <c r="E345" s="29"/>
      <c r="F345" s="29"/>
      <c r="G345" s="29"/>
      <c r="H345" s="28" t="s">
        <v>847</v>
      </c>
      <c r="I345" s="28" t="s">
        <v>71</v>
      </c>
      <c r="J345" s="28" t="s">
        <v>72</v>
      </c>
      <c r="K345" s="28"/>
      <c r="L345" s="28"/>
    </row>
    <row r="346" spans="1:12" ht="21.75" customHeight="1" x14ac:dyDescent="0.2">
      <c r="A346" s="28" t="s">
        <v>2264</v>
      </c>
      <c r="B346" s="28" t="s">
        <v>2051</v>
      </c>
      <c r="C346" s="28" t="s">
        <v>1212</v>
      </c>
      <c r="D346" s="28" t="s">
        <v>1213</v>
      </c>
      <c r="E346" s="29"/>
      <c r="F346" s="29"/>
      <c r="G346" s="29"/>
      <c r="H346" s="28" t="s">
        <v>1214</v>
      </c>
      <c r="I346" s="28" t="s">
        <v>71</v>
      </c>
      <c r="J346" s="28" t="s">
        <v>72</v>
      </c>
      <c r="K346" s="28"/>
      <c r="L346" s="28"/>
    </row>
    <row r="347" spans="1:12" ht="15" customHeight="1" x14ac:dyDescent="0.2">
      <c r="A347" s="28" t="s">
        <v>2264</v>
      </c>
      <c r="B347" s="28" t="s">
        <v>2051</v>
      </c>
      <c r="C347" s="28" t="s">
        <v>1216</v>
      </c>
      <c r="D347" s="28" t="s">
        <v>805</v>
      </c>
      <c r="E347" s="29" t="s">
        <v>67</v>
      </c>
      <c r="F347" s="29"/>
      <c r="G347" s="29"/>
      <c r="H347" s="28" t="s">
        <v>1217</v>
      </c>
      <c r="I347" s="28" t="s">
        <v>71</v>
      </c>
      <c r="J347" s="28" t="s">
        <v>72</v>
      </c>
      <c r="K347" s="28"/>
      <c r="L347" s="28"/>
    </row>
    <row r="348" spans="1:12" ht="21.75" customHeight="1" x14ac:dyDescent="0.2">
      <c r="A348" s="28" t="s">
        <v>2264</v>
      </c>
      <c r="B348" s="28" t="s">
        <v>2051</v>
      </c>
      <c r="C348" s="28" t="s">
        <v>976</v>
      </c>
      <c r="D348" s="28" t="s">
        <v>1257</v>
      </c>
      <c r="E348" s="29" t="s">
        <v>67</v>
      </c>
      <c r="F348" s="29"/>
      <c r="G348" s="29"/>
      <c r="H348" s="28" t="s">
        <v>1258</v>
      </c>
      <c r="I348" s="28" t="s">
        <v>71</v>
      </c>
      <c r="J348" s="28" t="s">
        <v>72</v>
      </c>
      <c r="K348" s="28"/>
      <c r="L348" s="28"/>
    </row>
    <row r="349" spans="1:12" ht="21.75" customHeight="1" x14ac:dyDescent="0.2">
      <c r="A349" s="28" t="s">
        <v>2264</v>
      </c>
      <c r="B349" s="28" t="s">
        <v>476</v>
      </c>
      <c r="C349" s="28" t="s">
        <v>197</v>
      </c>
      <c r="D349" s="28" t="s">
        <v>1562</v>
      </c>
      <c r="E349" s="29"/>
      <c r="F349" s="29"/>
      <c r="G349" s="29"/>
      <c r="H349" s="28" t="s">
        <v>1563</v>
      </c>
      <c r="I349" s="28" t="s">
        <v>71</v>
      </c>
      <c r="J349" s="28" t="s">
        <v>72</v>
      </c>
      <c r="K349" s="28"/>
      <c r="L349" s="28"/>
    </row>
    <row r="350" spans="1:12" ht="15" customHeight="1" x14ac:dyDescent="0.2">
      <c r="A350" s="28" t="s">
        <v>2264</v>
      </c>
      <c r="B350" s="28" t="s">
        <v>479</v>
      </c>
      <c r="C350" s="28" t="s">
        <v>1840</v>
      </c>
      <c r="D350" s="28" t="s">
        <v>1841</v>
      </c>
      <c r="E350" s="29"/>
      <c r="F350" s="29"/>
      <c r="G350" s="29"/>
      <c r="H350" s="28" t="s">
        <v>1842</v>
      </c>
      <c r="I350" s="28" t="s">
        <v>71</v>
      </c>
      <c r="J350" s="28" t="s">
        <v>72</v>
      </c>
      <c r="K350" s="28"/>
      <c r="L350" s="28"/>
    </row>
    <row r="351" spans="1:12" ht="21.75" customHeight="1" x14ac:dyDescent="0.2">
      <c r="A351" s="28" t="s">
        <v>2264</v>
      </c>
      <c r="B351" s="28" t="s">
        <v>479</v>
      </c>
      <c r="C351" s="28" t="s">
        <v>1868</v>
      </c>
      <c r="D351" s="28" t="s">
        <v>1869</v>
      </c>
      <c r="E351" s="29"/>
      <c r="F351" s="29"/>
      <c r="G351" s="29"/>
      <c r="H351" s="28" t="s">
        <v>1870</v>
      </c>
      <c r="I351" s="28" t="s">
        <v>71</v>
      </c>
      <c r="J351" s="28" t="s">
        <v>72</v>
      </c>
      <c r="K351" s="28"/>
      <c r="L351" s="28"/>
    </row>
    <row r="352" spans="1:12" ht="21.75" customHeight="1" x14ac:dyDescent="0.2">
      <c r="A352" s="28" t="s">
        <v>2264</v>
      </c>
      <c r="B352" s="28" t="s">
        <v>479</v>
      </c>
      <c r="C352" s="28" t="s">
        <v>1905</v>
      </c>
      <c r="D352" s="28" t="s">
        <v>1906</v>
      </c>
      <c r="E352" s="29"/>
      <c r="F352" s="29"/>
      <c r="G352" s="29"/>
      <c r="H352" s="28" t="s">
        <v>1907</v>
      </c>
      <c r="I352" s="28" t="s">
        <v>71</v>
      </c>
      <c r="J352" s="28" t="s">
        <v>72</v>
      </c>
      <c r="K352" s="28"/>
      <c r="L352" s="28"/>
    </row>
    <row r="353" spans="1:12" ht="21.75" customHeight="1" x14ac:dyDescent="0.2">
      <c r="A353" s="28" t="s">
        <v>2264</v>
      </c>
      <c r="B353" s="28" t="s">
        <v>2052</v>
      </c>
      <c r="C353" s="28" t="s">
        <v>203</v>
      </c>
      <c r="D353" s="28" t="s">
        <v>2265</v>
      </c>
      <c r="E353" s="29" t="s">
        <v>67</v>
      </c>
      <c r="F353" s="29"/>
      <c r="G353" s="29"/>
      <c r="H353" s="28" t="s">
        <v>2266</v>
      </c>
      <c r="I353" s="28" t="s">
        <v>71</v>
      </c>
      <c r="J353" s="28" t="s">
        <v>72</v>
      </c>
      <c r="K353" s="28"/>
      <c r="L353" s="28"/>
    </row>
    <row r="354" spans="1:12" ht="32.25" customHeight="1" x14ac:dyDescent="0.2">
      <c r="A354" s="28" t="s">
        <v>2264</v>
      </c>
      <c r="B354" s="28" t="s">
        <v>496</v>
      </c>
      <c r="C354" s="28" t="s">
        <v>2267</v>
      </c>
      <c r="D354" s="28" t="s">
        <v>2268</v>
      </c>
      <c r="E354" s="29"/>
      <c r="F354" s="29"/>
      <c r="G354" s="29"/>
      <c r="H354" s="28" t="s">
        <v>2269</v>
      </c>
      <c r="I354" s="28" t="s">
        <v>71</v>
      </c>
      <c r="J354" s="28" t="s">
        <v>72</v>
      </c>
      <c r="K354" s="28"/>
      <c r="L354" s="28"/>
    </row>
    <row r="355" spans="1:12" ht="32.25" customHeight="1" x14ac:dyDescent="0.2">
      <c r="A355" s="28" t="s">
        <v>2264</v>
      </c>
      <c r="B355" s="28" t="s">
        <v>499</v>
      </c>
      <c r="C355" s="28" t="s">
        <v>2270</v>
      </c>
      <c r="D355" s="28" t="s">
        <v>2271</v>
      </c>
      <c r="E355" s="29"/>
      <c r="F355" s="29"/>
      <c r="G355" s="29"/>
      <c r="H355" s="28" t="s">
        <v>2272</v>
      </c>
      <c r="I355" s="28" t="s">
        <v>71</v>
      </c>
      <c r="J355" s="28" t="s">
        <v>72</v>
      </c>
      <c r="K355" s="28"/>
      <c r="L355" s="28"/>
    </row>
    <row r="356" spans="1:12" ht="32.25" customHeight="1" x14ac:dyDescent="0.2">
      <c r="A356" s="28" t="s">
        <v>2264</v>
      </c>
      <c r="B356" s="28" t="s">
        <v>502</v>
      </c>
      <c r="C356" s="28" t="s">
        <v>2273</v>
      </c>
      <c r="D356" s="28" t="s">
        <v>2274</v>
      </c>
      <c r="E356" s="29"/>
      <c r="F356" s="29"/>
      <c r="G356" s="29"/>
      <c r="H356" s="28" t="s">
        <v>2275</v>
      </c>
      <c r="I356" s="28" t="s">
        <v>71</v>
      </c>
      <c r="J356" s="28" t="s">
        <v>72</v>
      </c>
      <c r="K356" s="28"/>
      <c r="L356" s="28"/>
    </row>
    <row r="357" spans="1:12" ht="15" customHeight="1" x14ac:dyDescent="0.2">
      <c r="A357" s="6" t="s">
        <v>2276</v>
      </c>
      <c r="B357" s="6"/>
      <c r="C357" s="6"/>
      <c r="D357" s="6"/>
      <c r="E357" s="6"/>
      <c r="F357" s="6"/>
      <c r="G357" s="6"/>
      <c r="H357" s="6"/>
      <c r="I357" s="6"/>
      <c r="J357" s="6"/>
      <c r="K357" s="6"/>
      <c r="L357" s="6"/>
    </row>
    <row r="358" spans="1:12" ht="32.25" customHeight="1" x14ac:dyDescent="0.2">
      <c r="A358" s="28" t="s">
        <v>2277</v>
      </c>
      <c r="B358" s="28" t="s">
        <v>11</v>
      </c>
      <c r="C358" s="28" t="s">
        <v>2278</v>
      </c>
      <c r="D358" s="28" t="s">
        <v>2279</v>
      </c>
      <c r="E358" s="29" t="s">
        <v>67</v>
      </c>
      <c r="F358" s="29"/>
      <c r="G358" s="29"/>
      <c r="H358" s="28" t="s">
        <v>2280</v>
      </c>
      <c r="I358" s="28" t="s">
        <v>71</v>
      </c>
      <c r="J358" s="28" t="s">
        <v>72</v>
      </c>
      <c r="K358" s="28"/>
      <c r="L358" s="28"/>
    </row>
    <row r="359" spans="1:12" ht="32.25" customHeight="1" x14ac:dyDescent="0.2">
      <c r="A359" s="28" t="s">
        <v>2277</v>
      </c>
      <c r="B359" s="28" t="s">
        <v>11</v>
      </c>
      <c r="C359" s="28" t="s">
        <v>2281</v>
      </c>
      <c r="D359" s="28" t="s">
        <v>2282</v>
      </c>
      <c r="E359" s="29"/>
      <c r="F359" s="29"/>
      <c r="G359" s="29"/>
      <c r="H359" s="28" t="s">
        <v>2283</v>
      </c>
      <c r="I359" s="28" t="s">
        <v>71</v>
      </c>
      <c r="J359" s="28" t="s">
        <v>72</v>
      </c>
      <c r="K359" s="28"/>
      <c r="L359" s="28"/>
    </row>
    <row r="360" spans="1:12" ht="32.25" customHeight="1" x14ac:dyDescent="0.2">
      <c r="A360" s="28" t="s">
        <v>2277</v>
      </c>
      <c r="B360" s="28" t="s">
        <v>11</v>
      </c>
      <c r="C360" s="28" t="s">
        <v>2284</v>
      </c>
      <c r="D360" s="28" t="s">
        <v>2285</v>
      </c>
      <c r="E360" s="29" t="s">
        <v>67</v>
      </c>
      <c r="F360" s="29" t="s">
        <v>67</v>
      </c>
      <c r="G360" s="29" t="s">
        <v>67</v>
      </c>
      <c r="H360" s="28" t="s">
        <v>2286</v>
      </c>
      <c r="I360" s="28" t="s">
        <v>71</v>
      </c>
      <c r="J360" s="28" t="s">
        <v>72</v>
      </c>
      <c r="K360" s="28"/>
      <c r="L360" s="28"/>
    </row>
    <row r="361" spans="1:12" ht="32.25" customHeight="1" x14ac:dyDescent="0.2">
      <c r="A361" s="28" t="s">
        <v>2277</v>
      </c>
      <c r="B361" s="28" t="s">
        <v>11</v>
      </c>
      <c r="C361" s="28" t="s">
        <v>2287</v>
      </c>
      <c r="D361" s="28" t="s">
        <v>2288</v>
      </c>
      <c r="E361" s="29" t="s">
        <v>67</v>
      </c>
      <c r="F361" s="29"/>
      <c r="G361" s="29"/>
      <c r="H361" s="28" t="s">
        <v>2289</v>
      </c>
      <c r="I361" s="28" t="s">
        <v>71</v>
      </c>
      <c r="J361" s="28" t="s">
        <v>72</v>
      </c>
      <c r="K361" s="28"/>
      <c r="L361" s="28"/>
    </row>
    <row r="362" spans="1:12" ht="21.75" customHeight="1" x14ac:dyDescent="0.2">
      <c r="A362" s="28" t="s">
        <v>2277</v>
      </c>
      <c r="B362" s="28" t="s">
        <v>11</v>
      </c>
      <c r="C362" s="28" t="s">
        <v>2290</v>
      </c>
      <c r="D362" s="28" t="s">
        <v>2291</v>
      </c>
      <c r="E362" s="29" t="s">
        <v>67</v>
      </c>
      <c r="F362" s="29" t="s">
        <v>67</v>
      </c>
      <c r="G362" s="29" t="s">
        <v>67</v>
      </c>
      <c r="H362" s="28" t="s">
        <v>2292</v>
      </c>
      <c r="I362" s="28" t="s">
        <v>71</v>
      </c>
      <c r="J362" s="28" t="s">
        <v>72</v>
      </c>
      <c r="K362" s="28"/>
      <c r="L362" s="28"/>
    </row>
    <row r="363" spans="1:12" ht="32.25" customHeight="1" x14ac:dyDescent="0.2">
      <c r="A363" s="28" t="s">
        <v>2277</v>
      </c>
      <c r="B363" s="28" t="s">
        <v>11</v>
      </c>
      <c r="C363" s="28" t="s">
        <v>2293</v>
      </c>
      <c r="D363" s="28" t="s">
        <v>2294</v>
      </c>
      <c r="E363" s="29"/>
      <c r="F363" s="29" t="s">
        <v>67</v>
      </c>
      <c r="G363" s="29"/>
      <c r="H363" s="28" t="s">
        <v>2295</v>
      </c>
      <c r="I363" s="28" t="s">
        <v>71</v>
      </c>
      <c r="J363" s="28" t="s">
        <v>72</v>
      </c>
      <c r="K363" s="28"/>
      <c r="L363" s="28"/>
    </row>
    <row r="364" spans="1:12" ht="21.75" customHeight="1" x14ac:dyDescent="0.2">
      <c r="A364" s="28" t="s">
        <v>2277</v>
      </c>
      <c r="B364" s="28" t="s">
        <v>11</v>
      </c>
      <c r="C364" s="28" t="s">
        <v>2296</v>
      </c>
      <c r="D364" s="28" t="s">
        <v>2297</v>
      </c>
      <c r="E364" s="29" t="s">
        <v>67</v>
      </c>
      <c r="F364" s="29"/>
      <c r="G364" s="29"/>
      <c r="H364" s="28" t="s">
        <v>2298</v>
      </c>
      <c r="I364" s="28" t="s">
        <v>71</v>
      </c>
      <c r="J364" s="28" t="s">
        <v>72</v>
      </c>
      <c r="K364" s="28"/>
      <c r="L364" s="28"/>
    </row>
    <row r="365" spans="1:12" ht="21.75" customHeight="1" x14ac:dyDescent="0.2">
      <c r="A365" s="28" t="s">
        <v>2277</v>
      </c>
      <c r="B365" s="28" t="s">
        <v>11</v>
      </c>
      <c r="C365" s="28" t="s">
        <v>2299</v>
      </c>
      <c r="D365" s="28" t="s">
        <v>2300</v>
      </c>
      <c r="E365" s="29" t="s">
        <v>67</v>
      </c>
      <c r="F365" s="29"/>
      <c r="G365" s="29"/>
      <c r="H365" s="28" t="s">
        <v>2301</v>
      </c>
      <c r="I365" s="28" t="s">
        <v>71</v>
      </c>
      <c r="J365" s="28" t="s">
        <v>72</v>
      </c>
      <c r="K365" s="28"/>
      <c r="L365" s="28"/>
    </row>
    <row r="366" spans="1:12" ht="32.25" customHeight="1" x14ac:dyDescent="0.2">
      <c r="A366" s="28" t="s">
        <v>2277</v>
      </c>
      <c r="B366" s="28" t="s">
        <v>11</v>
      </c>
      <c r="C366" s="28" t="s">
        <v>2302</v>
      </c>
      <c r="D366" s="28" t="s">
        <v>2303</v>
      </c>
      <c r="E366" s="29" t="s">
        <v>67</v>
      </c>
      <c r="F366" s="29" t="s">
        <v>67</v>
      </c>
      <c r="G366" s="29" t="s">
        <v>67</v>
      </c>
      <c r="H366" s="28" t="s">
        <v>2304</v>
      </c>
      <c r="I366" s="28" t="s">
        <v>71</v>
      </c>
      <c r="J366" s="28" t="s">
        <v>72</v>
      </c>
      <c r="K366" s="28"/>
      <c r="L366" s="28"/>
    </row>
    <row r="367" spans="1:12" ht="21.75" customHeight="1" x14ac:dyDescent="0.2">
      <c r="A367" s="28" t="s">
        <v>2277</v>
      </c>
      <c r="B367" s="28" t="s">
        <v>11</v>
      </c>
      <c r="C367" s="28" t="s">
        <v>2305</v>
      </c>
      <c r="D367" s="28" t="s">
        <v>2306</v>
      </c>
      <c r="E367" s="29" t="s">
        <v>67</v>
      </c>
      <c r="F367" s="29"/>
      <c r="G367" s="29"/>
      <c r="H367" s="28" t="s">
        <v>2307</v>
      </c>
      <c r="I367" s="28" t="s">
        <v>71</v>
      </c>
      <c r="J367" s="28" t="s">
        <v>72</v>
      </c>
      <c r="K367" s="28"/>
      <c r="L367" s="28"/>
    </row>
    <row r="368" spans="1:12" ht="32.25" customHeight="1" x14ac:dyDescent="0.2">
      <c r="A368" s="28" t="s">
        <v>2277</v>
      </c>
      <c r="B368" s="28" t="s">
        <v>11</v>
      </c>
      <c r="C368" s="28" t="s">
        <v>2308</v>
      </c>
      <c r="D368" s="28" t="s">
        <v>2309</v>
      </c>
      <c r="E368" s="29"/>
      <c r="F368" s="29" t="s">
        <v>67</v>
      </c>
      <c r="G368" s="29"/>
      <c r="H368" s="28" t="s">
        <v>2310</v>
      </c>
      <c r="I368" s="28" t="s">
        <v>71</v>
      </c>
      <c r="J368" s="28" t="s">
        <v>72</v>
      </c>
      <c r="K368" s="28"/>
      <c r="L368" s="28"/>
    </row>
    <row r="369" spans="1:12" ht="21.75" customHeight="1" x14ac:dyDescent="0.2">
      <c r="A369" s="28" t="s">
        <v>2277</v>
      </c>
      <c r="B369" s="28" t="s">
        <v>11</v>
      </c>
      <c r="C369" s="28" t="s">
        <v>2311</v>
      </c>
      <c r="D369" s="28" t="s">
        <v>2312</v>
      </c>
      <c r="E369" s="29"/>
      <c r="F369" s="29"/>
      <c r="G369" s="29" t="s">
        <v>67</v>
      </c>
      <c r="H369" s="28" t="s">
        <v>2313</v>
      </c>
      <c r="I369" s="28" t="s">
        <v>71</v>
      </c>
      <c r="J369" s="28" t="s">
        <v>72</v>
      </c>
      <c r="K369" s="28"/>
      <c r="L369" s="28"/>
    </row>
    <row r="370" spans="1:12" ht="32.25" customHeight="1" x14ac:dyDescent="0.2">
      <c r="A370" s="28" t="s">
        <v>2277</v>
      </c>
      <c r="B370" s="28" t="s">
        <v>11</v>
      </c>
      <c r="C370" s="28" t="s">
        <v>2314</v>
      </c>
      <c r="D370" s="28" t="s">
        <v>2315</v>
      </c>
      <c r="E370" s="29" t="s">
        <v>67</v>
      </c>
      <c r="F370" s="29"/>
      <c r="G370" s="29"/>
      <c r="H370" s="28" t="s">
        <v>2316</v>
      </c>
      <c r="I370" s="28" t="s">
        <v>71</v>
      </c>
      <c r="J370" s="28" t="s">
        <v>72</v>
      </c>
      <c r="K370" s="28"/>
      <c r="L370" s="28"/>
    </row>
    <row r="371" spans="1:12" ht="32.25" customHeight="1" x14ac:dyDescent="0.2">
      <c r="A371" s="28" t="s">
        <v>2277</v>
      </c>
      <c r="B371" s="28" t="s">
        <v>11</v>
      </c>
      <c r="C371" s="28" t="s">
        <v>2317</v>
      </c>
      <c r="D371" s="28" t="s">
        <v>2318</v>
      </c>
      <c r="E371" s="29" t="s">
        <v>67</v>
      </c>
      <c r="F371" s="29" t="s">
        <v>67</v>
      </c>
      <c r="G371" s="29" t="s">
        <v>67</v>
      </c>
      <c r="H371" s="28" t="s">
        <v>2319</v>
      </c>
      <c r="I371" s="28" t="s">
        <v>71</v>
      </c>
      <c r="J371" s="28" t="s">
        <v>72</v>
      </c>
      <c r="K371" s="28"/>
      <c r="L371" s="28"/>
    </row>
    <row r="372" spans="1:12" ht="15" customHeight="1" x14ac:dyDescent="0.2">
      <c r="A372" s="6" t="s">
        <v>2320</v>
      </c>
      <c r="B372" s="6"/>
      <c r="C372" s="6"/>
      <c r="D372" s="6"/>
      <c r="E372" s="6"/>
      <c r="F372" s="6"/>
      <c r="G372" s="6"/>
      <c r="H372" s="6"/>
      <c r="I372" s="6"/>
      <c r="J372" s="6"/>
      <c r="K372" s="6"/>
      <c r="L372" s="6"/>
    </row>
    <row r="373" spans="1:12" ht="21.75" customHeight="1" x14ac:dyDescent="0.2">
      <c r="A373" s="28" t="s">
        <v>2321</v>
      </c>
      <c r="B373" s="28" t="s">
        <v>2050</v>
      </c>
      <c r="C373" s="28" t="s">
        <v>106</v>
      </c>
      <c r="D373" s="28" t="s">
        <v>107</v>
      </c>
      <c r="E373" s="29" t="s">
        <v>67</v>
      </c>
      <c r="F373" s="29" t="s">
        <v>67</v>
      </c>
      <c r="G373" s="29" t="s">
        <v>67</v>
      </c>
      <c r="H373" s="28" t="s">
        <v>108</v>
      </c>
      <c r="I373" s="28" t="s">
        <v>71</v>
      </c>
      <c r="J373" s="28" t="s">
        <v>72</v>
      </c>
      <c r="K373" s="28"/>
      <c r="L373" s="28"/>
    </row>
    <row r="374" spans="1:12" ht="15" customHeight="1" x14ac:dyDescent="0.2">
      <c r="A374" s="28" t="s">
        <v>2321</v>
      </c>
      <c r="B374" s="28" t="s">
        <v>2050</v>
      </c>
      <c r="C374" s="28" t="s">
        <v>325</v>
      </c>
      <c r="D374" s="28" t="s">
        <v>326</v>
      </c>
      <c r="E374" s="29"/>
      <c r="F374" s="29"/>
      <c r="G374" s="29"/>
      <c r="H374" s="28" t="s">
        <v>327</v>
      </c>
      <c r="I374" s="28" t="s">
        <v>71</v>
      </c>
      <c r="J374" s="28" t="s">
        <v>72</v>
      </c>
      <c r="K374" s="28"/>
      <c r="L374" s="28"/>
    </row>
    <row r="375" spans="1:12" ht="21.75" customHeight="1" x14ac:dyDescent="0.2">
      <c r="A375" s="28" t="s">
        <v>2321</v>
      </c>
      <c r="B375" s="28" t="s">
        <v>2050</v>
      </c>
      <c r="C375" s="28" t="s">
        <v>331</v>
      </c>
      <c r="D375" s="28" t="s">
        <v>332</v>
      </c>
      <c r="E375" s="29"/>
      <c r="F375" s="29"/>
      <c r="G375" s="29"/>
      <c r="H375" s="28" t="s">
        <v>333</v>
      </c>
      <c r="I375" s="28" t="s">
        <v>71</v>
      </c>
      <c r="J375" s="28" t="s">
        <v>72</v>
      </c>
      <c r="K375" s="28"/>
      <c r="L375" s="28"/>
    </row>
    <row r="376" spans="1:12" ht="21.75" customHeight="1" x14ac:dyDescent="0.2">
      <c r="A376" s="28" t="s">
        <v>2321</v>
      </c>
      <c r="B376" s="28" t="s">
        <v>2050</v>
      </c>
      <c r="C376" s="28" t="s">
        <v>434</v>
      </c>
      <c r="D376" s="28" t="s">
        <v>435</v>
      </c>
      <c r="E376" s="29"/>
      <c r="F376" s="29"/>
      <c r="G376" s="29"/>
      <c r="H376" s="28" t="s">
        <v>436</v>
      </c>
      <c r="I376" s="28" t="s">
        <v>71</v>
      </c>
      <c r="J376" s="28" t="s">
        <v>72</v>
      </c>
      <c r="K376" s="28"/>
      <c r="L376" s="28"/>
    </row>
    <row r="377" spans="1:12" ht="21.75" customHeight="1" x14ac:dyDescent="0.2">
      <c r="A377" s="28" t="s">
        <v>2321</v>
      </c>
      <c r="B377" s="28" t="s">
        <v>470</v>
      </c>
      <c r="C377" s="28" t="s">
        <v>961</v>
      </c>
      <c r="D377" s="28" t="s">
        <v>962</v>
      </c>
      <c r="E377" s="29"/>
      <c r="F377" s="29"/>
      <c r="G377" s="29"/>
      <c r="H377" s="28" t="s">
        <v>963</v>
      </c>
      <c r="I377" s="28" t="s">
        <v>71</v>
      </c>
      <c r="J377" s="28" t="s">
        <v>72</v>
      </c>
      <c r="K377" s="28"/>
      <c r="L377" s="28"/>
    </row>
    <row r="378" spans="1:12" ht="15" customHeight="1" x14ac:dyDescent="0.2">
      <c r="A378" s="28" t="s">
        <v>2321</v>
      </c>
      <c r="B378" s="28" t="s">
        <v>2051</v>
      </c>
      <c r="C378" s="28" t="s">
        <v>203</v>
      </c>
      <c r="D378" s="28" t="s">
        <v>1082</v>
      </c>
      <c r="E378" s="29"/>
      <c r="F378" s="29"/>
      <c r="G378" s="29"/>
      <c r="H378" s="28" t="s">
        <v>1083</v>
      </c>
      <c r="I378" s="28" t="s">
        <v>71</v>
      </c>
      <c r="J378" s="28" t="s">
        <v>72</v>
      </c>
      <c r="K378" s="28"/>
      <c r="L378" s="28"/>
    </row>
    <row r="379" spans="1:12" ht="21.75" customHeight="1" x14ac:dyDescent="0.2">
      <c r="A379" s="28" t="s">
        <v>2321</v>
      </c>
      <c r="B379" s="28" t="s">
        <v>479</v>
      </c>
      <c r="C379" s="28" t="s">
        <v>1759</v>
      </c>
      <c r="D379" s="28" t="s">
        <v>768</v>
      </c>
      <c r="E379" s="29"/>
      <c r="F379" s="29"/>
      <c r="G379" s="29"/>
      <c r="H379" s="28" t="s">
        <v>1760</v>
      </c>
      <c r="I379" s="28" t="s">
        <v>71</v>
      </c>
      <c r="J379" s="28" t="s">
        <v>72</v>
      </c>
      <c r="K379" s="28"/>
      <c r="L379" s="28"/>
    </row>
    <row r="380" spans="1:12" ht="21.75" customHeight="1" x14ac:dyDescent="0.2">
      <c r="A380" s="28" t="s">
        <v>2321</v>
      </c>
      <c r="B380" s="28" t="s">
        <v>479</v>
      </c>
      <c r="C380" s="28" t="s">
        <v>673</v>
      </c>
      <c r="D380" s="28" t="s">
        <v>1812</v>
      </c>
      <c r="E380" s="29" t="s">
        <v>67</v>
      </c>
      <c r="F380" s="29" t="s">
        <v>67</v>
      </c>
      <c r="G380" s="29" t="s">
        <v>67</v>
      </c>
      <c r="H380" s="28" t="s">
        <v>1813</v>
      </c>
      <c r="I380" s="28" t="s">
        <v>71</v>
      </c>
      <c r="J380" s="28" t="s">
        <v>72</v>
      </c>
      <c r="K380" s="28"/>
      <c r="L380" s="28"/>
    </row>
    <row r="381" spans="1:12" ht="21.75" customHeight="1" x14ac:dyDescent="0.2">
      <c r="A381" s="28" t="s">
        <v>2321</v>
      </c>
      <c r="B381" s="28" t="s">
        <v>479</v>
      </c>
      <c r="C381" s="28" t="s">
        <v>684</v>
      </c>
      <c r="D381" s="28" t="s">
        <v>1820</v>
      </c>
      <c r="E381" s="29"/>
      <c r="F381" s="29"/>
      <c r="G381" s="29"/>
      <c r="H381" s="28" t="s">
        <v>1821</v>
      </c>
      <c r="I381" s="28" t="s">
        <v>71</v>
      </c>
      <c r="J381" s="28" t="s">
        <v>72</v>
      </c>
      <c r="K381" s="28"/>
      <c r="L381" s="28"/>
    </row>
    <row r="382" spans="1:12" ht="21.75" customHeight="1" x14ac:dyDescent="0.2">
      <c r="A382" s="28" t="s">
        <v>2321</v>
      </c>
      <c r="B382" s="28" t="s">
        <v>479</v>
      </c>
      <c r="C382" s="28" t="s">
        <v>690</v>
      </c>
      <c r="D382" s="28" t="s">
        <v>1823</v>
      </c>
      <c r="E382" s="29"/>
      <c r="F382" s="29"/>
      <c r="G382" s="29"/>
      <c r="H382" s="28" t="s">
        <v>1824</v>
      </c>
      <c r="I382" s="28" t="s">
        <v>71</v>
      </c>
      <c r="J382" s="28" t="s">
        <v>72</v>
      </c>
      <c r="K382" s="28"/>
      <c r="L382" s="28"/>
    </row>
    <row r="383" spans="1:12" ht="21.75" customHeight="1" x14ac:dyDescent="0.2">
      <c r="A383" s="28" t="s">
        <v>2321</v>
      </c>
      <c r="B383" s="28" t="s">
        <v>479</v>
      </c>
      <c r="C383" s="28" t="s">
        <v>1882</v>
      </c>
      <c r="D383" s="28" t="s">
        <v>1883</v>
      </c>
      <c r="E383" s="29"/>
      <c r="F383" s="29"/>
      <c r="G383" s="29"/>
      <c r="H383" s="28" t="s">
        <v>1884</v>
      </c>
      <c r="I383" s="28" t="s">
        <v>71</v>
      </c>
      <c r="J383" s="28" t="s">
        <v>72</v>
      </c>
      <c r="K383" s="28"/>
      <c r="L383" s="28"/>
    </row>
    <row r="384" spans="1:12" ht="21.75" customHeight="1" x14ac:dyDescent="0.2">
      <c r="A384" s="28" t="s">
        <v>2321</v>
      </c>
      <c r="B384" s="28" t="s">
        <v>493</v>
      </c>
      <c r="C384" s="28" t="s">
        <v>1537</v>
      </c>
      <c r="D384" s="28" t="s">
        <v>2322</v>
      </c>
      <c r="E384" s="29"/>
      <c r="F384" s="29"/>
      <c r="G384" s="29"/>
      <c r="H384" s="28" t="s">
        <v>2323</v>
      </c>
      <c r="I384" s="28" t="s">
        <v>71</v>
      </c>
      <c r="J384" s="28" t="s">
        <v>72</v>
      </c>
      <c r="K384" s="28"/>
      <c r="L384" s="28"/>
    </row>
    <row r="385" spans="1:12" ht="21.75" customHeight="1" x14ac:dyDescent="0.2">
      <c r="A385" s="28" t="s">
        <v>2321</v>
      </c>
      <c r="B385" s="28" t="s">
        <v>493</v>
      </c>
      <c r="C385" s="28" t="s">
        <v>208</v>
      </c>
      <c r="D385" s="28" t="s">
        <v>2324</v>
      </c>
      <c r="E385" s="29"/>
      <c r="F385" s="29"/>
      <c r="G385" s="29"/>
      <c r="H385" s="28" t="s">
        <v>2325</v>
      </c>
      <c r="I385" s="28" t="s">
        <v>71</v>
      </c>
      <c r="J385" s="28" t="s">
        <v>72</v>
      </c>
      <c r="K385" s="28"/>
      <c r="L385" s="28"/>
    </row>
    <row r="386" spans="1:12" ht="15" customHeight="1" x14ac:dyDescent="0.2">
      <c r="A386" s="6" t="s">
        <v>2326</v>
      </c>
      <c r="B386" s="6"/>
      <c r="C386" s="6"/>
      <c r="D386" s="6"/>
      <c r="E386" s="6"/>
      <c r="F386" s="6"/>
      <c r="G386" s="6"/>
      <c r="H386" s="6"/>
      <c r="I386" s="6"/>
      <c r="J386" s="6"/>
      <c r="K386" s="6"/>
      <c r="L386" s="6"/>
    </row>
    <row r="387" spans="1:12" ht="15" customHeight="1" x14ac:dyDescent="0.2">
      <c r="A387" s="28" t="s">
        <v>2327</v>
      </c>
      <c r="B387" s="28" t="s">
        <v>2050</v>
      </c>
      <c r="C387" s="28" t="s">
        <v>142</v>
      </c>
      <c r="D387" s="28" t="s">
        <v>143</v>
      </c>
      <c r="E387" s="29"/>
      <c r="F387" s="29" t="s">
        <v>67</v>
      </c>
      <c r="G387" s="29"/>
      <c r="H387" s="28" t="s">
        <v>144</v>
      </c>
      <c r="I387" s="28" t="s">
        <v>71</v>
      </c>
      <c r="J387" s="28" t="s">
        <v>72</v>
      </c>
      <c r="K387" s="28"/>
      <c r="L387" s="28"/>
    </row>
    <row r="388" spans="1:12" ht="15" customHeight="1" x14ac:dyDescent="0.2">
      <c r="A388" s="28" t="s">
        <v>2327</v>
      </c>
      <c r="B388" s="28" t="s">
        <v>2050</v>
      </c>
      <c r="C388" s="28" t="s">
        <v>342</v>
      </c>
      <c r="D388" s="28" t="s">
        <v>343</v>
      </c>
      <c r="E388" s="29"/>
      <c r="F388" s="29"/>
      <c r="G388" s="29"/>
      <c r="H388" s="28" t="s">
        <v>344</v>
      </c>
      <c r="I388" s="28" t="s">
        <v>71</v>
      </c>
      <c r="J388" s="28" t="s">
        <v>72</v>
      </c>
      <c r="K388" s="28"/>
      <c r="L388" s="28"/>
    </row>
    <row r="389" spans="1:12" ht="21.75" customHeight="1" x14ac:dyDescent="0.2">
      <c r="A389" s="28" t="s">
        <v>2327</v>
      </c>
      <c r="B389" s="28" t="s">
        <v>2050</v>
      </c>
      <c r="C389" s="28" t="s">
        <v>393</v>
      </c>
      <c r="D389" s="28" t="s">
        <v>394</v>
      </c>
      <c r="E389" s="29"/>
      <c r="F389" s="29"/>
      <c r="G389" s="29"/>
      <c r="H389" s="28" t="s">
        <v>395</v>
      </c>
      <c r="I389" s="28" t="s">
        <v>71</v>
      </c>
      <c r="J389" s="28" t="s">
        <v>72</v>
      </c>
      <c r="K389" s="28"/>
      <c r="L389" s="28"/>
    </row>
    <row r="390" spans="1:12" ht="21.75" customHeight="1" x14ac:dyDescent="0.2">
      <c r="A390" s="28" t="s">
        <v>2327</v>
      </c>
      <c r="B390" s="28" t="s">
        <v>2050</v>
      </c>
      <c r="C390" s="28" t="s">
        <v>398</v>
      </c>
      <c r="D390" s="28" t="s">
        <v>399</v>
      </c>
      <c r="E390" s="29"/>
      <c r="F390" s="29"/>
      <c r="G390" s="29"/>
      <c r="H390" s="28" t="s">
        <v>400</v>
      </c>
      <c r="I390" s="28" t="s">
        <v>71</v>
      </c>
      <c r="J390" s="28" t="s">
        <v>72</v>
      </c>
      <c r="K390" s="28"/>
      <c r="L390" s="28"/>
    </row>
    <row r="391" spans="1:12" ht="32.25" customHeight="1" x14ac:dyDescent="0.2">
      <c r="A391" s="28" t="s">
        <v>2327</v>
      </c>
      <c r="B391" s="28" t="s">
        <v>461</v>
      </c>
      <c r="C391" s="28" t="s">
        <v>596</v>
      </c>
      <c r="D391" s="28" t="s">
        <v>597</v>
      </c>
      <c r="E391" s="29" t="s">
        <v>67</v>
      </c>
      <c r="F391" s="29" t="s">
        <v>67</v>
      </c>
      <c r="G391" s="29"/>
      <c r="H391" s="28" t="s">
        <v>599</v>
      </c>
      <c r="I391" s="28" t="s">
        <v>71</v>
      </c>
      <c r="J391" s="28" t="s">
        <v>72</v>
      </c>
      <c r="K391" s="28"/>
      <c r="L391" s="28"/>
    </row>
    <row r="392" spans="1:12" ht="32.25" customHeight="1" x14ac:dyDescent="0.2">
      <c r="A392" s="28" t="s">
        <v>2327</v>
      </c>
      <c r="B392" s="28" t="s">
        <v>461</v>
      </c>
      <c r="C392" s="28" t="s">
        <v>697</v>
      </c>
      <c r="D392" s="28" t="s">
        <v>698</v>
      </c>
      <c r="E392" s="29"/>
      <c r="F392" s="29"/>
      <c r="G392" s="29"/>
      <c r="H392" s="28" t="s">
        <v>700</v>
      </c>
      <c r="I392" s="28" t="s">
        <v>71</v>
      </c>
      <c r="J392" s="28" t="s">
        <v>72</v>
      </c>
      <c r="K392" s="28"/>
      <c r="L392" s="28"/>
    </row>
    <row r="393" spans="1:12" ht="32.25" customHeight="1" x14ac:dyDescent="0.2">
      <c r="A393" s="28" t="s">
        <v>2327</v>
      </c>
      <c r="B393" s="28" t="s">
        <v>464</v>
      </c>
      <c r="C393" s="28" t="s">
        <v>762</v>
      </c>
      <c r="D393" s="28" t="s">
        <v>763</v>
      </c>
      <c r="E393" s="29" t="s">
        <v>67</v>
      </c>
      <c r="F393" s="29" t="s">
        <v>67</v>
      </c>
      <c r="G393" s="29" t="s">
        <v>67</v>
      </c>
      <c r="H393" s="28" t="s">
        <v>2328</v>
      </c>
      <c r="I393" s="28" t="s">
        <v>71</v>
      </c>
      <c r="J393" s="28" t="s">
        <v>72</v>
      </c>
      <c r="K393" s="28"/>
      <c r="L393" s="28"/>
    </row>
    <row r="394" spans="1:12" ht="21.75" customHeight="1" x14ac:dyDescent="0.2">
      <c r="A394" s="28" t="s">
        <v>2327</v>
      </c>
      <c r="B394" s="28" t="s">
        <v>464</v>
      </c>
      <c r="C394" s="28" t="s">
        <v>804</v>
      </c>
      <c r="D394" s="28" t="s">
        <v>805</v>
      </c>
      <c r="E394" s="29"/>
      <c r="F394" s="29"/>
      <c r="G394" s="29"/>
      <c r="H394" s="28" t="s">
        <v>806</v>
      </c>
      <c r="I394" s="28" t="s">
        <v>71</v>
      </c>
      <c r="J394" s="28" t="s">
        <v>72</v>
      </c>
      <c r="K394" s="28"/>
      <c r="L394" s="28"/>
    </row>
    <row r="395" spans="1:12" ht="21.75" customHeight="1" x14ac:dyDescent="0.2">
      <c r="A395" s="28" t="s">
        <v>2327</v>
      </c>
      <c r="B395" s="28" t="s">
        <v>9</v>
      </c>
      <c r="C395" s="28" t="s">
        <v>1918</v>
      </c>
      <c r="D395" s="28" t="s">
        <v>1919</v>
      </c>
      <c r="E395" s="29" t="s">
        <v>67</v>
      </c>
      <c r="F395" s="29"/>
      <c r="G395" s="29"/>
      <c r="H395" s="28" t="s">
        <v>1920</v>
      </c>
      <c r="I395" s="28" t="s">
        <v>71</v>
      </c>
      <c r="J395" s="28" t="s">
        <v>72</v>
      </c>
      <c r="K395" s="28"/>
      <c r="L395" s="28"/>
    </row>
    <row r="396" spans="1:12" ht="32.25" customHeight="1" x14ac:dyDescent="0.2">
      <c r="A396" s="28" t="s">
        <v>2327</v>
      </c>
      <c r="B396" s="28" t="s">
        <v>9</v>
      </c>
      <c r="C396" s="28" t="s">
        <v>1923</v>
      </c>
      <c r="D396" s="28" t="s">
        <v>1924</v>
      </c>
      <c r="E396" s="29" t="s">
        <v>67</v>
      </c>
      <c r="F396" s="29" t="s">
        <v>67</v>
      </c>
      <c r="G396" s="29" t="s">
        <v>67</v>
      </c>
      <c r="H396" s="28" t="s">
        <v>1925</v>
      </c>
      <c r="I396" s="28" t="s">
        <v>71</v>
      </c>
      <c r="J396" s="28" t="s">
        <v>72</v>
      </c>
      <c r="K396" s="28"/>
      <c r="L396" s="28"/>
    </row>
    <row r="397" spans="1:12" ht="32.25" customHeight="1" x14ac:dyDescent="0.2">
      <c r="A397" s="28" t="s">
        <v>2327</v>
      </c>
      <c r="B397" s="28" t="s">
        <v>505</v>
      </c>
      <c r="C397" s="28" t="s">
        <v>2329</v>
      </c>
      <c r="D397" s="28" t="s">
        <v>2330</v>
      </c>
      <c r="E397" s="29" t="s">
        <v>67</v>
      </c>
      <c r="F397" s="29" t="s">
        <v>67</v>
      </c>
      <c r="G397" s="29"/>
      <c r="H397" s="28" t="s">
        <v>2331</v>
      </c>
      <c r="I397" s="28" t="s">
        <v>71</v>
      </c>
      <c r="J397" s="28" t="s">
        <v>72</v>
      </c>
      <c r="K397" s="28"/>
      <c r="L397" s="28"/>
    </row>
    <row r="398" spans="1:12" ht="32.25" customHeight="1" x14ac:dyDescent="0.2">
      <c r="A398" s="28" t="s">
        <v>2327</v>
      </c>
      <c r="B398" s="28" t="s">
        <v>505</v>
      </c>
      <c r="C398" s="28" t="s">
        <v>2332</v>
      </c>
      <c r="D398" s="28" t="s">
        <v>2333</v>
      </c>
      <c r="E398" s="29"/>
      <c r="F398" s="29" t="s">
        <v>67</v>
      </c>
      <c r="G398" s="29"/>
      <c r="H398" s="28" t="s">
        <v>2334</v>
      </c>
      <c r="I398" s="28" t="s">
        <v>71</v>
      </c>
      <c r="J398" s="28" t="s">
        <v>72</v>
      </c>
      <c r="K398" s="28"/>
      <c r="L398" s="28"/>
    </row>
    <row r="399" spans="1:12" ht="32.25" customHeight="1" x14ac:dyDescent="0.2">
      <c r="A399" s="28" t="s">
        <v>2327</v>
      </c>
      <c r="B399" s="28" t="s">
        <v>505</v>
      </c>
      <c r="C399" s="28" t="s">
        <v>2335</v>
      </c>
      <c r="D399" s="28" t="s">
        <v>2336</v>
      </c>
      <c r="E399" s="29" t="s">
        <v>67</v>
      </c>
      <c r="F399" s="29" t="s">
        <v>67</v>
      </c>
      <c r="G399" s="29"/>
      <c r="H399" s="28" t="s">
        <v>2337</v>
      </c>
      <c r="I399" s="28" t="s">
        <v>71</v>
      </c>
      <c r="J399" s="28" t="s">
        <v>72</v>
      </c>
      <c r="K399" s="28"/>
      <c r="L399" s="28"/>
    </row>
    <row r="400" spans="1:12" ht="15" customHeight="1" x14ac:dyDescent="0.2">
      <c r="A400" s="6" t="s">
        <v>2338</v>
      </c>
      <c r="B400" s="6"/>
      <c r="C400" s="6"/>
      <c r="D400" s="6"/>
      <c r="E400" s="6"/>
      <c r="F400" s="6"/>
      <c r="G400" s="6"/>
      <c r="H400" s="6"/>
      <c r="I400" s="6"/>
      <c r="J400" s="6"/>
      <c r="K400" s="6"/>
      <c r="L400" s="6"/>
    </row>
    <row r="401" spans="1:12" ht="15" customHeight="1" x14ac:dyDescent="0.2">
      <c r="A401" s="28" t="s">
        <v>2339</v>
      </c>
      <c r="B401" s="28" t="s">
        <v>2051</v>
      </c>
      <c r="C401" s="28" t="s">
        <v>235</v>
      </c>
      <c r="D401" s="28" t="s">
        <v>1278</v>
      </c>
      <c r="E401" s="29" t="s">
        <v>67</v>
      </c>
      <c r="F401" s="29"/>
      <c r="G401" s="29" t="s">
        <v>67</v>
      </c>
      <c r="H401" s="28" t="s">
        <v>1279</v>
      </c>
      <c r="I401" s="28" t="s">
        <v>71</v>
      </c>
      <c r="J401" s="28" t="s">
        <v>72</v>
      </c>
      <c r="K401" s="28"/>
      <c r="L401" s="28"/>
    </row>
    <row r="402" spans="1:12" ht="15" customHeight="1" x14ac:dyDescent="0.2">
      <c r="A402" s="28" t="s">
        <v>2339</v>
      </c>
      <c r="B402" s="28" t="s">
        <v>2051</v>
      </c>
      <c r="C402" s="28" t="s">
        <v>241</v>
      </c>
      <c r="D402" s="28" t="s">
        <v>1282</v>
      </c>
      <c r="E402" s="29" t="s">
        <v>67</v>
      </c>
      <c r="F402" s="29"/>
      <c r="G402" s="29" t="s">
        <v>67</v>
      </c>
      <c r="H402" s="28" t="s">
        <v>1283</v>
      </c>
      <c r="I402" s="28" t="s">
        <v>71</v>
      </c>
      <c r="J402" s="28" t="s">
        <v>72</v>
      </c>
      <c r="K402" s="28"/>
      <c r="L402" s="28"/>
    </row>
    <row r="403" spans="1:12" ht="15" customHeight="1" x14ac:dyDescent="0.2">
      <c r="A403" s="28" t="s">
        <v>2339</v>
      </c>
      <c r="B403" s="28" t="s">
        <v>2051</v>
      </c>
      <c r="C403" s="28" t="s">
        <v>246</v>
      </c>
      <c r="D403" s="28" t="s">
        <v>1286</v>
      </c>
      <c r="E403" s="29" t="s">
        <v>67</v>
      </c>
      <c r="F403" s="29"/>
      <c r="G403" s="29" t="s">
        <v>67</v>
      </c>
      <c r="H403" s="28" t="s">
        <v>1287</v>
      </c>
      <c r="I403" s="28" t="s">
        <v>71</v>
      </c>
      <c r="J403" s="28" t="s">
        <v>72</v>
      </c>
      <c r="K403" s="28"/>
      <c r="L403" s="28"/>
    </row>
    <row r="404" spans="1:12" ht="21.75" customHeight="1" x14ac:dyDescent="0.2">
      <c r="A404" s="28" t="s">
        <v>2339</v>
      </c>
      <c r="B404" s="28" t="s">
        <v>2051</v>
      </c>
      <c r="C404" s="28" t="s">
        <v>1294</v>
      </c>
      <c r="D404" s="28" t="s">
        <v>1295</v>
      </c>
      <c r="E404" s="29"/>
      <c r="F404" s="29"/>
      <c r="G404" s="29" t="s">
        <v>67</v>
      </c>
      <c r="H404" s="28" t="s">
        <v>1296</v>
      </c>
      <c r="I404" s="28" t="s">
        <v>71</v>
      </c>
      <c r="J404" s="28" t="s">
        <v>72</v>
      </c>
      <c r="K404" s="28"/>
      <c r="L404" s="28"/>
    </row>
    <row r="405" spans="1:12" ht="15" customHeight="1" x14ac:dyDescent="0.2">
      <c r="A405" s="28" t="s">
        <v>2339</v>
      </c>
      <c r="B405" s="28" t="s">
        <v>2051</v>
      </c>
      <c r="C405" s="28" t="s">
        <v>1299</v>
      </c>
      <c r="D405" s="28" t="s">
        <v>1300</v>
      </c>
      <c r="E405" s="29" t="s">
        <v>67</v>
      </c>
      <c r="F405" s="29"/>
      <c r="G405" s="29"/>
      <c r="H405" s="28" t="s">
        <v>1301</v>
      </c>
      <c r="I405" s="28" t="s">
        <v>71</v>
      </c>
      <c r="J405" s="28" t="s">
        <v>72</v>
      </c>
      <c r="K405" s="28"/>
      <c r="L405" s="28"/>
    </row>
    <row r="406" spans="1:12" ht="15" customHeight="1" x14ac:dyDescent="0.2">
      <c r="A406" s="28" t="s">
        <v>2339</v>
      </c>
      <c r="B406" s="28" t="s">
        <v>2051</v>
      </c>
      <c r="C406" s="28" t="s">
        <v>1304</v>
      </c>
      <c r="D406" s="28" t="s">
        <v>1305</v>
      </c>
      <c r="E406" s="29" t="s">
        <v>67</v>
      </c>
      <c r="F406" s="29"/>
      <c r="G406" s="29"/>
      <c r="H406" s="28" t="s">
        <v>1306</v>
      </c>
      <c r="I406" s="28" t="s">
        <v>71</v>
      </c>
      <c r="J406" s="28" t="s">
        <v>72</v>
      </c>
      <c r="K406" s="28"/>
      <c r="L406" s="28"/>
    </row>
    <row r="407" spans="1:12" ht="15" customHeight="1" x14ac:dyDescent="0.2">
      <c r="A407" s="28" t="s">
        <v>2339</v>
      </c>
      <c r="B407" s="28" t="s">
        <v>2051</v>
      </c>
      <c r="C407" s="28" t="s">
        <v>1309</v>
      </c>
      <c r="D407" s="28" t="s">
        <v>1310</v>
      </c>
      <c r="E407" s="29" t="s">
        <v>67</v>
      </c>
      <c r="F407" s="29"/>
      <c r="G407" s="29" t="s">
        <v>67</v>
      </c>
      <c r="H407" s="28" t="s">
        <v>1311</v>
      </c>
      <c r="I407" s="28" t="s">
        <v>71</v>
      </c>
      <c r="J407" s="28" t="s">
        <v>72</v>
      </c>
      <c r="K407" s="28"/>
      <c r="L407" s="28"/>
    </row>
    <row r="408" spans="1:12" ht="15" customHeight="1" x14ac:dyDescent="0.2">
      <c r="A408" s="28" t="s">
        <v>2339</v>
      </c>
      <c r="B408" s="28" t="s">
        <v>2051</v>
      </c>
      <c r="C408" s="28" t="s">
        <v>1314</v>
      </c>
      <c r="D408" s="28" t="s">
        <v>1315</v>
      </c>
      <c r="E408" s="29" t="s">
        <v>67</v>
      </c>
      <c r="F408" s="29"/>
      <c r="G408" s="29" t="s">
        <v>67</v>
      </c>
      <c r="H408" s="28" t="s">
        <v>1316</v>
      </c>
      <c r="I408" s="28" t="s">
        <v>71</v>
      </c>
      <c r="J408" s="28" t="s">
        <v>72</v>
      </c>
      <c r="K408" s="28"/>
      <c r="L408" s="28"/>
    </row>
    <row r="409" spans="1:12" ht="21.75" customHeight="1" x14ac:dyDescent="0.2">
      <c r="A409" s="28" t="s">
        <v>2339</v>
      </c>
      <c r="B409" s="28" t="s">
        <v>2051</v>
      </c>
      <c r="C409" s="28" t="s">
        <v>1319</v>
      </c>
      <c r="D409" s="28" t="s">
        <v>1320</v>
      </c>
      <c r="E409" s="29" t="s">
        <v>67</v>
      </c>
      <c r="F409" s="29" t="s">
        <v>67</v>
      </c>
      <c r="G409" s="29"/>
      <c r="H409" s="28" t="s">
        <v>1321</v>
      </c>
      <c r="I409" s="28" t="s">
        <v>71</v>
      </c>
      <c r="J409" s="28" t="s">
        <v>72</v>
      </c>
      <c r="K409" s="28"/>
      <c r="L409" s="28"/>
    </row>
    <row r="410" spans="1:12" ht="15" customHeight="1" x14ac:dyDescent="0.2">
      <c r="A410" s="28" t="s">
        <v>2339</v>
      </c>
      <c r="B410" s="28" t="s">
        <v>2051</v>
      </c>
      <c r="C410" s="28" t="s">
        <v>1329</v>
      </c>
      <c r="D410" s="28" t="s">
        <v>1330</v>
      </c>
      <c r="E410" s="29" t="s">
        <v>67</v>
      </c>
      <c r="F410" s="29"/>
      <c r="G410" s="29" t="s">
        <v>67</v>
      </c>
      <c r="H410" s="28" t="s">
        <v>1331</v>
      </c>
      <c r="I410" s="28" t="s">
        <v>71</v>
      </c>
      <c r="J410" s="28" t="s">
        <v>72</v>
      </c>
      <c r="K410" s="28"/>
      <c r="L410" s="28"/>
    </row>
    <row r="411" spans="1:12" ht="15" customHeight="1" x14ac:dyDescent="0.2">
      <c r="A411" s="28" t="s">
        <v>2339</v>
      </c>
      <c r="B411" s="28" t="s">
        <v>2051</v>
      </c>
      <c r="C411" s="28" t="s">
        <v>1334</v>
      </c>
      <c r="D411" s="28" t="s">
        <v>1335</v>
      </c>
      <c r="E411" s="29"/>
      <c r="F411" s="29"/>
      <c r="G411" s="29" t="s">
        <v>67</v>
      </c>
      <c r="H411" s="28" t="s">
        <v>1336</v>
      </c>
      <c r="I411" s="28" t="s">
        <v>71</v>
      </c>
      <c r="J411" s="28" t="s">
        <v>72</v>
      </c>
      <c r="K411" s="28"/>
      <c r="L411" s="28"/>
    </row>
    <row r="412" spans="1:12" ht="15" customHeight="1" x14ac:dyDescent="0.2">
      <c r="A412" s="28" t="s">
        <v>2339</v>
      </c>
      <c r="B412" s="28" t="s">
        <v>2051</v>
      </c>
      <c r="C412" s="28" t="s">
        <v>1339</v>
      </c>
      <c r="D412" s="28" t="s">
        <v>1340</v>
      </c>
      <c r="E412" s="29" t="s">
        <v>67</v>
      </c>
      <c r="F412" s="29"/>
      <c r="G412" s="29"/>
      <c r="H412" s="28" t="s">
        <v>1341</v>
      </c>
      <c r="I412" s="28" t="s">
        <v>71</v>
      </c>
      <c r="J412" s="28" t="s">
        <v>72</v>
      </c>
      <c r="K412" s="28"/>
      <c r="L412" s="28"/>
    </row>
    <row r="413" spans="1:12" ht="21.75" customHeight="1" x14ac:dyDescent="0.2">
      <c r="A413" s="28" t="s">
        <v>2339</v>
      </c>
      <c r="B413" s="28" t="s">
        <v>484</v>
      </c>
      <c r="C413" s="28" t="s">
        <v>1999</v>
      </c>
      <c r="D413" s="28" t="s">
        <v>2000</v>
      </c>
      <c r="E413" s="29"/>
      <c r="F413" s="29"/>
      <c r="G413" s="29"/>
      <c r="H413" s="28" t="s">
        <v>2001</v>
      </c>
      <c r="I413" s="28" t="s">
        <v>71</v>
      </c>
      <c r="J413" s="28" t="s">
        <v>72</v>
      </c>
      <c r="K413" s="28"/>
      <c r="L413" s="28"/>
    </row>
    <row r="414" spans="1:12" ht="15" customHeight="1" x14ac:dyDescent="0.2">
      <c r="A414" s="6" t="s">
        <v>2340</v>
      </c>
      <c r="B414" s="6"/>
      <c r="C414" s="6"/>
      <c r="D414" s="6"/>
      <c r="E414" s="6"/>
      <c r="F414" s="6"/>
      <c r="G414" s="6"/>
      <c r="H414" s="6"/>
      <c r="I414" s="6"/>
      <c r="J414" s="6"/>
      <c r="K414" s="6"/>
      <c r="L414" s="6"/>
    </row>
    <row r="415" spans="1:12" ht="21.75" customHeight="1" x14ac:dyDescent="0.2">
      <c r="A415" s="28" t="s">
        <v>2341</v>
      </c>
      <c r="B415" s="28" t="s">
        <v>470</v>
      </c>
      <c r="C415" s="28" t="s">
        <v>976</v>
      </c>
      <c r="D415" s="28" t="s">
        <v>977</v>
      </c>
      <c r="E415" s="29" t="s">
        <v>67</v>
      </c>
      <c r="F415" s="29"/>
      <c r="G415" s="29"/>
      <c r="H415" s="28" t="s">
        <v>978</v>
      </c>
      <c r="I415" s="28" t="s">
        <v>71</v>
      </c>
      <c r="J415" s="28" t="s">
        <v>72</v>
      </c>
      <c r="K415" s="28"/>
      <c r="L415" s="28"/>
    </row>
    <row r="416" spans="1:12" ht="15" customHeight="1" x14ac:dyDescent="0.2">
      <c r="A416" s="28" t="s">
        <v>2341</v>
      </c>
      <c r="B416" s="28" t="s">
        <v>2051</v>
      </c>
      <c r="C416" s="28" t="s">
        <v>208</v>
      </c>
      <c r="D416" s="28" t="s">
        <v>1085</v>
      </c>
      <c r="E416" s="29"/>
      <c r="F416" s="29" t="s">
        <v>67</v>
      </c>
      <c r="G416" s="29"/>
      <c r="H416" s="28" t="s">
        <v>1086</v>
      </c>
      <c r="I416" s="28" t="s">
        <v>71</v>
      </c>
      <c r="J416" s="28" t="s">
        <v>72</v>
      </c>
      <c r="K416" s="28"/>
      <c r="L416" s="28"/>
    </row>
    <row r="417" spans="1:12" ht="21.75" customHeight="1" x14ac:dyDescent="0.2">
      <c r="A417" s="28" t="s">
        <v>2341</v>
      </c>
      <c r="B417" s="28" t="s">
        <v>2051</v>
      </c>
      <c r="C417" s="28" t="s">
        <v>1132</v>
      </c>
      <c r="D417" s="28" t="s">
        <v>1133</v>
      </c>
      <c r="E417" s="29" t="s">
        <v>67</v>
      </c>
      <c r="F417" s="29" t="s">
        <v>67</v>
      </c>
      <c r="G417" s="29" t="s">
        <v>67</v>
      </c>
      <c r="H417" s="28" t="s">
        <v>1134</v>
      </c>
      <c r="I417" s="28" t="s">
        <v>71</v>
      </c>
      <c r="J417" s="28" t="s">
        <v>72</v>
      </c>
      <c r="K417" s="28"/>
      <c r="L417" s="28"/>
    </row>
    <row r="418" spans="1:12" ht="15" customHeight="1" x14ac:dyDescent="0.2">
      <c r="A418" s="28" t="s">
        <v>2341</v>
      </c>
      <c r="B418" s="28" t="s">
        <v>2051</v>
      </c>
      <c r="C418" s="28" t="s">
        <v>1137</v>
      </c>
      <c r="D418" s="28" t="s">
        <v>1138</v>
      </c>
      <c r="E418" s="29" t="s">
        <v>67</v>
      </c>
      <c r="F418" s="29" t="s">
        <v>67</v>
      </c>
      <c r="G418" s="29" t="s">
        <v>67</v>
      </c>
      <c r="H418" s="28" t="s">
        <v>1139</v>
      </c>
      <c r="I418" s="28" t="s">
        <v>71</v>
      </c>
      <c r="J418" s="28" t="s">
        <v>72</v>
      </c>
      <c r="K418" s="28"/>
      <c r="L418" s="28"/>
    </row>
    <row r="419" spans="1:12" ht="15" customHeight="1" x14ac:dyDescent="0.2">
      <c r="A419" s="28" t="s">
        <v>2341</v>
      </c>
      <c r="B419" s="28" t="s">
        <v>2051</v>
      </c>
      <c r="C419" s="28" t="s">
        <v>1142</v>
      </c>
      <c r="D419" s="28" t="s">
        <v>1143</v>
      </c>
      <c r="E419" s="29" t="s">
        <v>67</v>
      </c>
      <c r="F419" s="29" t="s">
        <v>67</v>
      </c>
      <c r="G419" s="29" t="s">
        <v>67</v>
      </c>
      <c r="H419" s="28" t="s">
        <v>1144</v>
      </c>
      <c r="I419" s="28" t="s">
        <v>71</v>
      </c>
      <c r="J419" s="28" t="s">
        <v>72</v>
      </c>
      <c r="K419" s="28"/>
      <c r="L419" s="28"/>
    </row>
    <row r="420" spans="1:12" ht="15" customHeight="1" x14ac:dyDescent="0.2">
      <c r="A420" s="28" t="s">
        <v>2341</v>
      </c>
      <c r="B420" s="28" t="s">
        <v>2051</v>
      </c>
      <c r="C420" s="28" t="s">
        <v>1147</v>
      </c>
      <c r="D420" s="28" t="s">
        <v>1148</v>
      </c>
      <c r="E420" s="29" t="s">
        <v>67</v>
      </c>
      <c r="F420" s="29" t="s">
        <v>67</v>
      </c>
      <c r="G420" s="29" t="s">
        <v>67</v>
      </c>
      <c r="H420" s="28" t="s">
        <v>1149</v>
      </c>
      <c r="I420" s="28" t="s">
        <v>71</v>
      </c>
      <c r="J420" s="28" t="s">
        <v>72</v>
      </c>
      <c r="K420" s="28"/>
      <c r="L420" s="28"/>
    </row>
    <row r="421" spans="1:12" ht="15" customHeight="1" x14ac:dyDescent="0.2">
      <c r="A421" s="28" t="s">
        <v>2341</v>
      </c>
      <c r="B421" s="28" t="s">
        <v>2051</v>
      </c>
      <c r="C421" s="28" t="s">
        <v>84</v>
      </c>
      <c r="D421" s="28" t="s">
        <v>1350</v>
      </c>
      <c r="E421" s="29" t="s">
        <v>67</v>
      </c>
      <c r="F421" s="29" t="s">
        <v>67</v>
      </c>
      <c r="G421" s="29" t="s">
        <v>67</v>
      </c>
      <c r="H421" s="28" t="s">
        <v>1351</v>
      </c>
      <c r="I421" s="28" t="s">
        <v>71</v>
      </c>
      <c r="J421" s="28" t="s">
        <v>72</v>
      </c>
      <c r="K421" s="28"/>
      <c r="L421" s="28"/>
    </row>
    <row r="422" spans="1:12" ht="15" customHeight="1" x14ac:dyDescent="0.2">
      <c r="A422" s="28" t="s">
        <v>2341</v>
      </c>
      <c r="B422" s="28" t="s">
        <v>2051</v>
      </c>
      <c r="C422" s="28" t="s">
        <v>88</v>
      </c>
      <c r="D422" s="28" t="s">
        <v>1354</v>
      </c>
      <c r="E422" s="29" t="s">
        <v>67</v>
      </c>
      <c r="F422" s="29"/>
      <c r="G422" s="29"/>
      <c r="H422" s="28" t="s">
        <v>1355</v>
      </c>
      <c r="I422" s="28" t="s">
        <v>71</v>
      </c>
      <c r="J422" s="28" t="s">
        <v>72</v>
      </c>
      <c r="K422" s="28"/>
      <c r="L422" s="28"/>
    </row>
    <row r="423" spans="1:12" ht="21.75" customHeight="1" x14ac:dyDescent="0.2">
      <c r="A423" s="28" t="s">
        <v>2341</v>
      </c>
      <c r="B423" s="28" t="s">
        <v>2051</v>
      </c>
      <c r="C423" s="28" t="s">
        <v>1362</v>
      </c>
      <c r="D423" s="28" t="s">
        <v>1363</v>
      </c>
      <c r="E423" s="29" t="s">
        <v>67</v>
      </c>
      <c r="F423" s="29" t="s">
        <v>67</v>
      </c>
      <c r="G423" s="29" t="s">
        <v>67</v>
      </c>
      <c r="H423" s="28" t="s">
        <v>1364</v>
      </c>
      <c r="I423" s="28" t="s">
        <v>71</v>
      </c>
      <c r="J423" s="28" t="s">
        <v>72</v>
      </c>
      <c r="K423" s="28"/>
      <c r="L423" s="28"/>
    </row>
    <row r="424" spans="1:12" ht="21.75" customHeight="1" x14ac:dyDescent="0.2">
      <c r="A424" s="28" t="s">
        <v>2341</v>
      </c>
      <c r="B424" s="28" t="s">
        <v>479</v>
      </c>
      <c r="C424" s="28" t="s">
        <v>1831</v>
      </c>
      <c r="D424" s="28" t="s">
        <v>1832</v>
      </c>
      <c r="E424" s="29" t="s">
        <v>67</v>
      </c>
      <c r="F424" s="29"/>
      <c r="G424" s="29"/>
      <c r="H424" s="28" t="s">
        <v>1833</v>
      </c>
      <c r="I424" s="28" t="s">
        <v>71</v>
      </c>
      <c r="J424" s="28" t="s">
        <v>72</v>
      </c>
      <c r="K424" s="28"/>
      <c r="L424" s="28"/>
    </row>
    <row r="425" spans="1:12" ht="32.25" customHeight="1" x14ac:dyDescent="0.2">
      <c r="A425" s="28" t="s">
        <v>2341</v>
      </c>
      <c r="B425" s="28" t="s">
        <v>2052</v>
      </c>
      <c r="C425" s="28" t="s">
        <v>182</v>
      </c>
      <c r="D425" s="28" t="s">
        <v>2342</v>
      </c>
      <c r="E425" s="29" t="s">
        <v>67</v>
      </c>
      <c r="F425" s="29" t="s">
        <v>67</v>
      </c>
      <c r="G425" s="29" t="s">
        <v>67</v>
      </c>
      <c r="H425" s="28" t="s">
        <v>2343</v>
      </c>
      <c r="I425" s="28" t="s">
        <v>71</v>
      </c>
      <c r="J425" s="28" t="s">
        <v>72</v>
      </c>
      <c r="K425" s="28"/>
      <c r="L425" s="28"/>
    </row>
    <row r="426" spans="1:12" ht="32.25" customHeight="1" x14ac:dyDescent="0.2">
      <c r="A426" s="28" t="s">
        <v>2341</v>
      </c>
      <c r="B426" s="28" t="s">
        <v>496</v>
      </c>
      <c r="C426" s="28" t="s">
        <v>1836</v>
      </c>
      <c r="D426" s="28" t="s">
        <v>2344</v>
      </c>
      <c r="E426" s="29" t="s">
        <v>67</v>
      </c>
      <c r="F426" s="29" t="s">
        <v>67</v>
      </c>
      <c r="G426" s="29" t="s">
        <v>67</v>
      </c>
      <c r="H426" s="28" t="s">
        <v>2345</v>
      </c>
      <c r="I426" s="28" t="s">
        <v>71</v>
      </c>
      <c r="J426" s="28" t="s">
        <v>72</v>
      </c>
      <c r="K426" s="28"/>
      <c r="L426" s="28"/>
    </row>
    <row r="427" spans="1:12" ht="15" customHeight="1" x14ac:dyDescent="0.2">
      <c r="A427" s="6" t="s">
        <v>2346</v>
      </c>
      <c r="B427" s="6"/>
      <c r="C427" s="6"/>
      <c r="D427" s="6"/>
      <c r="E427" s="6"/>
      <c r="F427" s="6"/>
      <c r="G427" s="6"/>
      <c r="H427" s="6"/>
      <c r="I427" s="6"/>
      <c r="J427" s="6"/>
      <c r="K427" s="6"/>
      <c r="L427" s="6"/>
    </row>
    <row r="428" spans="1:12" ht="32.25" customHeight="1" x14ac:dyDescent="0.2">
      <c r="A428" s="28" t="s">
        <v>2347</v>
      </c>
      <c r="B428" s="28" t="s">
        <v>2050</v>
      </c>
      <c r="C428" s="28" t="s">
        <v>203</v>
      </c>
      <c r="D428" s="28" t="s">
        <v>204</v>
      </c>
      <c r="E428" s="29"/>
      <c r="F428" s="29"/>
      <c r="G428" s="29"/>
      <c r="H428" s="28" t="s">
        <v>2348</v>
      </c>
      <c r="I428" s="28" t="s">
        <v>71</v>
      </c>
      <c r="J428" s="28" t="s">
        <v>72</v>
      </c>
      <c r="K428" s="28"/>
      <c r="L428" s="28"/>
    </row>
    <row r="429" spans="1:12" ht="15" customHeight="1" x14ac:dyDescent="0.2">
      <c r="A429" s="28" t="s">
        <v>2347</v>
      </c>
      <c r="B429" s="28" t="s">
        <v>2050</v>
      </c>
      <c r="C429" s="28" t="s">
        <v>301</v>
      </c>
      <c r="D429" s="28" t="s">
        <v>302</v>
      </c>
      <c r="E429" s="29"/>
      <c r="F429" s="29"/>
      <c r="G429" s="29"/>
      <c r="H429" s="28" t="s">
        <v>303</v>
      </c>
      <c r="I429" s="28" t="s">
        <v>71</v>
      </c>
      <c r="J429" s="28" t="s">
        <v>72</v>
      </c>
      <c r="K429" s="28"/>
      <c r="L429" s="28"/>
    </row>
    <row r="430" spans="1:12" ht="21.75" customHeight="1" x14ac:dyDescent="0.2">
      <c r="A430" s="28" t="s">
        <v>2347</v>
      </c>
      <c r="B430" s="28" t="s">
        <v>2050</v>
      </c>
      <c r="C430" s="28" t="s">
        <v>306</v>
      </c>
      <c r="D430" s="28" t="s">
        <v>307</v>
      </c>
      <c r="E430" s="29"/>
      <c r="F430" s="29"/>
      <c r="G430" s="29"/>
      <c r="H430" s="28" t="s">
        <v>308</v>
      </c>
      <c r="I430" s="28" t="s">
        <v>71</v>
      </c>
      <c r="J430" s="28" t="s">
        <v>72</v>
      </c>
      <c r="K430" s="28"/>
      <c r="L430" s="28"/>
    </row>
    <row r="431" spans="1:12" ht="32.25" customHeight="1" x14ac:dyDescent="0.2">
      <c r="A431" s="28" t="s">
        <v>2347</v>
      </c>
      <c r="B431" s="28" t="s">
        <v>461</v>
      </c>
      <c r="C431" s="28" t="s">
        <v>652</v>
      </c>
      <c r="D431" s="28" t="s">
        <v>653</v>
      </c>
      <c r="E431" s="29"/>
      <c r="F431" s="29"/>
      <c r="G431" s="29"/>
      <c r="H431" s="28" t="s">
        <v>655</v>
      </c>
      <c r="I431" s="28" t="s">
        <v>71</v>
      </c>
      <c r="J431" s="28" t="s">
        <v>72</v>
      </c>
      <c r="K431" s="28"/>
      <c r="L431" s="28"/>
    </row>
    <row r="432" spans="1:12" ht="32.25" customHeight="1" x14ac:dyDescent="0.2">
      <c r="A432" s="28" t="s">
        <v>2347</v>
      </c>
      <c r="B432" s="28" t="s">
        <v>461</v>
      </c>
      <c r="C432" s="28" t="s">
        <v>673</v>
      </c>
      <c r="D432" s="28" t="s">
        <v>674</v>
      </c>
      <c r="E432" s="29"/>
      <c r="F432" s="29"/>
      <c r="G432" s="29"/>
      <c r="H432" s="28" t="s">
        <v>676</v>
      </c>
      <c r="I432" s="28" t="s">
        <v>71</v>
      </c>
      <c r="J432" s="28" t="s">
        <v>72</v>
      </c>
      <c r="K432" s="28"/>
      <c r="L432" s="28"/>
    </row>
    <row r="433" spans="1:12" ht="32.25" customHeight="1" x14ac:dyDescent="0.2">
      <c r="A433" s="28" t="s">
        <v>2347</v>
      </c>
      <c r="B433" s="28" t="s">
        <v>2051</v>
      </c>
      <c r="C433" s="28" t="s">
        <v>203</v>
      </c>
      <c r="D433" s="28" t="s">
        <v>1017</v>
      </c>
      <c r="E433" s="29"/>
      <c r="F433" s="29"/>
      <c r="G433" s="29"/>
      <c r="H433" s="28" t="s">
        <v>1018</v>
      </c>
      <c r="I433" s="28" t="s">
        <v>71</v>
      </c>
      <c r="J433" s="28" t="s">
        <v>72</v>
      </c>
      <c r="K433" s="28"/>
      <c r="L433" s="28"/>
    </row>
    <row r="434" spans="1:12" ht="15" customHeight="1" x14ac:dyDescent="0.2">
      <c r="A434" s="28" t="s">
        <v>2347</v>
      </c>
      <c r="B434" s="28" t="s">
        <v>2051</v>
      </c>
      <c r="C434" s="28" t="s">
        <v>301</v>
      </c>
      <c r="D434" s="28" t="s">
        <v>302</v>
      </c>
      <c r="E434" s="29"/>
      <c r="F434" s="29"/>
      <c r="G434" s="29"/>
      <c r="H434" s="28" t="s">
        <v>1073</v>
      </c>
      <c r="I434" s="28" t="s">
        <v>71</v>
      </c>
      <c r="J434" s="28" t="s">
        <v>72</v>
      </c>
      <c r="K434" s="28"/>
      <c r="L434" s="28"/>
    </row>
    <row r="435" spans="1:12" ht="21.75" customHeight="1" x14ac:dyDescent="0.2">
      <c r="A435" s="28" t="s">
        <v>2347</v>
      </c>
      <c r="B435" s="28" t="s">
        <v>2051</v>
      </c>
      <c r="C435" s="28" t="s">
        <v>306</v>
      </c>
      <c r="D435" s="28" t="s">
        <v>307</v>
      </c>
      <c r="E435" s="29"/>
      <c r="F435" s="29"/>
      <c r="G435" s="29"/>
      <c r="H435" s="28" t="s">
        <v>1075</v>
      </c>
      <c r="I435" s="28" t="s">
        <v>71</v>
      </c>
      <c r="J435" s="28" t="s">
        <v>72</v>
      </c>
      <c r="K435" s="28"/>
      <c r="L435" s="28"/>
    </row>
    <row r="436" spans="1:12" ht="32.25" customHeight="1" x14ac:dyDescent="0.2">
      <c r="A436" s="28" t="s">
        <v>2347</v>
      </c>
      <c r="B436" s="28" t="s">
        <v>476</v>
      </c>
      <c r="C436" s="28" t="s">
        <v>1659</v>
      </c>
      <c r="D436" s="28" t="s">
        <v>1660</v>
      </c>
      <c r="E436" s="29"/>
      <c r="F436" s="29"/>
      <c r="G436" s="29"/>
      <c r="H436" s="28" t="s">
        <v>1661</v>
      </c>
      <c r="I436" s="28" t="s">
        <v>71</v>
      </c>
      <c r="J436" s="28" t="s">
        <v>72</v>
      </c>
      <c r="K436" s="28"/>
      <c r="L436" s="28"/>
    </row>
    <row r="437" spans="1:12" ht="15" customHeight="1" x14ac:dyDescent="0.2">
      <c r="A437" s="28" t="s">
        <v>2347</v>
      </c>
      <c r="B437" s="28" t="s">
        <v>476</v>
      </c>
      <c r="C437" s="28" t="s">
        <v>1732</v>
      </c>
      <c r="D437" s="28" t="s">
        <v>1733</v>
      </c>
      <c r="E437" s="29"/>
      <c r="F437" s="29"/>
      <c r="G437" s="29"/>
      <c r="H437" s="28" t="s">
        <v>1734</v>
      </c>
      <c r="I437" s="28" t="s">
        <v>71</v>
      </c>
      <c r="J437" s="28" t="s">
        <v>72</v>
      </c>
      <c r="K437" s="28"/>
      <c r="L437" s="28"/>
    </row>
    <row r="438" spans="1:12" ht="15" customHeight="1" x14ac:dyDescent="0.2">
      <c r="A438" s="28" t="s">
        <v>2347</v>
      </c>
      <c r="B438" s="28" t="s">
        <v>476</v>
      </c>
      <c r="C438" s="28" t="s">
        <v>1737</v>
      </c>
      <c r="D438" s="28" t="s">
        <v>1738</v>
      </c>
      <c r="E438" s="29"/>
      <c r="F438" s="29"/>
      <c r="G438" s="29"/>
      <c r="H438" s="28" t="s">
        <v>1739</v>
      </c>
      <c r="I438" s="28" t="s">
        <v>71</v>
      </c>
      <c r="J438" s="28" t="s">
        <v>72</v>
      </c>
      <c r="K438" s="28"/>
      <c r="L438" s="28"/>
    </row>
    <row r="439" spans="1:12" ht="21.75" customHeight="1" x14ac:dyDescent="0.2">
      <c r="A439" s="28" t="s">
        <v>2347</v>
      </c>
      <c r="B439" s="28" t="s">
        <v>484</v>
      </c>
      <c r="C439" s="28" t="s">
        <v>943</v>
      </c>
      <c r="D439" s="28" t="s">
        <v>1986</v>
      </c>
      <c r="E439" s="29"/>
      <c r="F439" s="29"/>
      <c r="G439" s="29"/>
      <c r="H439" s="28" t="s">
        <v>1987</v>
      </c>
      <c r="I439" s="28" t="s">
        <v>71</v>
      </c>
      <c r="J439" s="28" t="s">
        <v>72</v>
      </c>
      <c r="K439" s="28"/>
      <c r="L439" s="28"/>
    </row>
    <row r="440" spans="1:12" ht="15" customHeight="1" x14ac:dyDescent="0.2">
      <c r="A440" s="6" t="s">
        <v>2349</v>
      </c>
      <c r="B440" s="6"/>
      <c r="C440" s="6"/>
      <c r="D440" s="6"/>
      <c r="E440" s="6"/>
      <c r="F440" s="6"/>
      <c r="G440" s="6"/>
      <c r="H440" s="6"/>
      <c r="I440" s="6"/>
      <c r="J440" s="6"/>
      <c r="K440" s="6"/>
      <c r="L440" s="6"/>
    </row>
    <row r="441" spans="1:12" ht="32.25" customHeight="1" x14ac:dyDescent="0.2">
      <c r="A441" s="28" t="s">
        <v>2350</v>
      </c>
      <c r="B441" s="28" t="s">
        <v>461</v>
      </c>
      <c r="C441" s="28" t="s">
        <v>623</v>
      </c>
      <c r="D441" s="28" t="s">
        <v>624</v>
      </c>
      <c r="E441" s="29" t="s">
        <v>67</v>
      </c>
      <c r="F441" s="29" t="s">
        <v>67</v>
      </c>
      <c r="G441" s="29" t="s">
        <v>67</v>
      </c>
      <c r="H441" s="28" t="s">
        <v>2351</v>
      </c>
      <c r="I441" s="28" t="s">
        <v>71</v>
      </c>
      <c r="J441" s="28" t="s">
        <v>72</v>
      </c>
      <c r="K441" s="28"/>
      <c r="L441" s="28"/>
    </row>
    <row r="442" spans="1:12" ht="32.25" customHeight="1" x14ac:dyDescent="0.2">
      <c r="A442" s="28" t="s">
        <v>2350</v>
      </c>
      <c r="B442" s="28" t="s">
        <v>9</v>
      </c>
      <c r="C442" s="28" t="s">
        <v>1928</v>
      </c>
      <c r="D442" s="28" t="s">
        <v>1929</v>
      </c>
      <c r="E442" s="29"/>
      <c r="F442" s="29" t="s">
        <v>67</v>
      </c>
      <c r="G442" s="29"/>
      <c r="H442" s="28" t="s">
        <v>1930</v>
      </c>
      <c r="I442" s="28" t="s">
        <v>71</v>
      </c>
      <c r="J442" s="28" t="s">
        <v>72</v>
      </c>
      <c r="K442" s="28"/>
      <c r="L442" s="28"/>
    </row>
    <row r="443" spans="1:12" ht="32.25" customHeight="1" x14ac:dyDescent="0.2">
      <c r="A443" s="28" t="s">
        <v>2350</v>
      </c>
      <c r="B443" s="28" t="s">
        <v>9</v>
      </c>
      <c r="C443" s="28" t="s">
        <v>1948</v>
      </c>
      <c r="D443" s="28" t="s">
        <v>1949</v>
      </c>
      <c r="E443" s="29" t="s">
        <v>67</v>
      </c>
      <c r="F443" s="29" t="s">
        <v>67</v>
      </c>
      <c r="G443" s="29"/>
      <c r="H443" s="28" t="s">
        <v>1950</v>
      </c>
      <c r="I443" s="28" t="s">
        <v>71</v>
      </c>
      <c r="J443" s="28" t="s">
        <v>72</v>
      </c>
      <c r="K443" s="28"/>
      <c r="L443" s="28"/>
    </row>
    <row r="444" spans="1:12" ht="21.75" customHeight="1" x14ac:dyDescent="0.2">
      <c r="A444" s="28" t="s">
        <v>2350</v>
      </c>
      <c r="B444" s="28" t="s">
        <v>508</v>
      </c>
      <c r="C444" s="28" t="s">
        <v>961</v>
      </c>
      <c r="D444" s="28" t="s">
        <v>2352</v>
      </c>
      <c r="E444" s="29"/>
      <c r="F444" s="29" t="s">
        <v>67</v>
      </c>
      <c r="G444" s="29"/>
      <c r="H444" s="28" t="s">
        <v>2353</v>
      </c>
      <c r="I444" s="28" t="s">
        <v>71</v>
      </c>
      <c r="J444" s="28" t="s">
        <v>72</v>
      </c>
      <c r="K444" s="28"/>
      <c r="L444" s="28"/>
    </row>
    <row r="445" spans="1:12" ht="21.75" customHeight="1" x14ac:dyDescent="0.2">
      <c r="A445" s="28" t="s">
        <v>2350</v>
      </c>
      <c r="B445" s="28" t="s">
        <v>508</v>
      </c>
      <c r="C445" s="28" t="s">
        <v>225</v>
      </c>
      <c r="D445" s="28" t="s">
        <v>2354</v>
      </c>
      <c r="E445" s="29"/>
      <c r="F445" s="29" t="s">
        <v>67</v>
      </c>
      <c r="G445" s="29"/>
      <c r="H445" s="28" t="s">
        <v>2355</v>
      </c>
      <c r="I445" s="28" t="s">
        <v>71</v>
      </c>
      <c r="J445" s="28" t="s">
        <v>72</v>
      </c>
      <c r="K445" s="28"/>
      <c r="L445" s="28"/>
    </row>
    <row r="446" spans="1:12" ht="21.75" customHeight="1" x14ac:dyDescent="0.2">
      <c r="A446" s="28" t="s">
        <v>2350</v>
      </c>
      <c r="B446" s="28" t="s">
        <v>508</v>
      </c>
      <c r="C446" s="28" t="s">
        <v>230</v>
      </c>
      <c r="D446" s="28" t="s">
        <v>2356</v>
      </c>
      <c r="E446" s="29"/>
      <c r="F446" s="29" t="s">
        <v>67</v>
      </c>
      <c r="G446" s="29"/>
      <c r="H446" s="28" t="s">
        <v>2357</v>
      </c>
      <c r="I446" s="28" t="s">
        <v>71</v>
      </c>
      <c r="J446" s="28" t="s">
        <v>72</v>
      </c>
      <c r="K446" s="28"/>
      <c r="L446" s="28"/>
    </row>
    <row r="447" spans="1:12" ht="21.75" customHeight="1" x14ac:dyDescent="0.2">
      <c r="A447" s="28" t="s">
        <v>2350</v>
      </c>
      <c r="B447" s="28" t="s">
        <v>508</v>
      </c>
      <c r="C447" s="28" t="s">
        <v>972</v>
      </c>
      <c r="D447" s="28" t="s">
        <v>2358</v>
      </c>
      <c r="E447" s="29" t="s">
        <v>67</v>
      </c>
      <c r="F447" s="29"/>
      <c r="G447" s="29"/>
      <c r="H447" s="28" t="s">
        <v>2359</v>
      </c>
      <c r="I447" s="28" t="s">
        <v>71</v>
      </c>
      <c r="J447" s="28" t="s">
        <v>72</v>
      </c>
      <c r="K447" s="28"/>
      <c r="L447" s="28"/>
    </row>
    <row r="448" spans="1:12" ht="21.75" customHeight="1" x14ac:dyDescent="0.2">
      <c r="A448" s="28" t="s">
        <v>2350</v>
      </c>
      <c r="B448" s="28" t="s">
        <v>508</v>
      </c>
      <c r="C448" s="28" t="s">
        <v>976</v>
      </c>
      <c r="D448" s="28" t="s">
        <v>2360</v>
      </c>
      <c r="E448" s="29" t="s">
        <v>67</v>
      </c>
      <c r="F448" s="29"/>
      <c r="G448" s="29"/>
      <c r="H448" s="28" t="s">
        <v>2361</v>
      </c>
      <c r="I448" s="28" t="s">
        <v>71</v>
      </c>
      <c r="J448" s="28" t="s">
        <v>72</v>
      </c>
      <c r="K448" s="28"/>
      <c r="L448" s="28"/>
    </row>
    <row r="449" spans="1:12" ht="21.75" customHeight="1" x14ac:dyDescent="0.2">
      <c r="A449" s="28" t="s">
        <v>2350</v>
      </c>
      <c r="B449" s="28" t="s">
        <v>508</v>
      </c>
      <c r="C449" s="28" t="s">
        <v>1261</v>
      </c>
      <c r="D449" s="28" t="s">
        <v>2362</v>
      </c>
      <c r="E449" s="29" t="s">
        <v>67</v>
      </c>
      <c r="F449" s="29"/>
      <c r="G449" s="29"/>
      <c r="H449" s="28" t="s">
        <v>2363</v>
      </c>
      <c r="I449" s="28" t="s">
        <v>71</v>
      </c>
      <c r="J449" s="28" t="s">
        <v>72</v>
      </c>
      <c r="K449" s="28"/>
      <c r="L449" s="28"/>
    </row>
    <row r="450" spans="1:12" ht="32.25" customHeight="1" x14ac:dyDescent="0.2">
      <c r="A450" s="28" t="s">
        <v>2350</v>
      </c>
      <c r="B450" s="28" t="s">
        <v>508</v>
      </c>
      <c r="C450" s="28" t="s">
        <v>1266</v>
      </c>
      <c r="D450" s="28" t="s">
        <v>2364</v>
      </c>
      <c r="E450" s="29" t="s">
        <v>67</v>
      </c>
      <c r="F450" s="29" t="s">
        <v>67</v>
      </c>
      <c r="G450" s="29" t="s">
        <v>67</v>
      </c>
      <c r="H450" s="28" t="s">
        <v>2365</v>
      </c>
      <c r="I450" s="28" t="s">
        <v>71</v>
      </c>
      <c r="J450" s="28" t="s">
        <v>72</v>
      </c>
      <c r="K450" s="28"/>
      <c r="L450" s="28"/>
    </row>
    <row r="451" spans="1:12" ht="15" customHeight="1" x14ac:dyDescent="0.2">
      <c r="A451" s="6" t="s">
        <v>2366</v>
      </c>
      <c r="B451" s="6"/>
      <c r="C451" s="6"/>
      <c r="D451" s="6"/>
      <c r="E451" s="6"/>
      <c r="F451" s="6"/>
      <c r="G451" s="6"/>
      <c r="H451" s="6"/>
      <c r="I451" s="6"/>
      <c r="J451" s="6"/>
      <c r="K451" s="6"/>
      <c r="L451" s="6"/>
    </row>
    <row r="452" spans="1:12" ht="32.25" customHeight="1" x14ac:dyDescent="0.2">
      <c r="A452" s="28" t="s">
        <v>2367</v>
      </c>
      <c r="B452" s="28" t="s">
        <v>496</v>
      </c>
      <c r="C452" s="28" t="s">
        <v>566</v>
      </c>
      <c r="D452" s="28" t="s">
        <v>2368</v>
      </c>
      <c r="E452" s="29"/>
      <c r="F452" s="29"/>
      <c r="G452" s="29"/>
      <c r="H452" s="28" t="s">
        <v>2369</v>
      </c>
      <c r="I452" s="28" t="s">
        <v>71</v>
      </c>
      <c r="J452" s="28" t="s">
        <v>72</v>
      </c>
      <c r="K452" s="28"/>
      <c r="L452" s="28"/>
    </row>
    <row r="453" spans="1:12" ht="32.25" customHeight="1" x14ac:dyDescent="0.2">
      <c r="A453" s="28" t="s">
        <v>2367</v>
      </c>
      <c r="B453" s="28" t="s">
        <v>496</v>
      </c>
      <c r="C453" s="28" t="s">
        <v>573</v>
      </c>
      <c r="D453" s="28" t="s">
        <v>2370</v>
      </c>
      <c r="E453" s="29" t="s">
        <v>67</v>
      </c>
      <c r="F453" s="29" t="s">
        <v>67</v>
      </c>
      <c r="G453" s="29" t="s">
        <v>67</v>
      </c>
      <c r="H453" s="28" t="s">
        <v>2371</v>
      </c>
      <c r="I453" s="28" t="s">
        <v>71</v>
      </c>
      <c r="J453" s="28" t="s">
        <v>72</v>
      </c>
      <c r="K453" s="28"/>
      <c r="L453" s="28"/>
    </row>
    <row r="454" spans="1:12" ht="32.25" customHeight="1" x14ac:dyDescent="0.2">
      <c r="A454" s="28" t="s">
        <v>2367</v>
      </c>
      <c r="B454" s="28" t="s">
        <v>496</v>
      </c>
      <c r="C454" s="28" t="s">
        <v>578</v>
      </c>
      <c r="D454" s="28" t="s">
        <v>2372</v>
      </c>
      <c r="E454" s="29" t="s">
        <v>67</v>
      </c>
      <c r="F454" s="29" t="s">
        <v>67</v>
      </c>
      <c r="G454" s="29" t="s">
        <v>67</v>
      </c>
      <c r="H454" s="28" t="s">
        <v>2373</v>
      </c>
      <c r="I454" s="28" t="s">
        <v>71</v>
      </c>
      <c r="J454" s="28" t="s">
        <v>72</v>
      </c>
      <c r="K454" s="28"/>
      <c r="L454" s="28"/>
    </row>
    <row r="455" spans="1:12" ht="32.25" customHeight="1" x14ac:dyDescent="0.2">
      <c r="A455" s="28" t="s">
        <v>2367</v>
      </c>
      <c r="B455" s="28" t="s">
        <v>496</v>
      </c>
      <c r="C455" s="28" t="s">
        <v>607</v>
      </c>
      <c r="D455" s="28" t="s">
        <v>2374</v>
      </c>
      <c r="E455" s="29"/>
      <c r="F455" s="29" t="s">
        <v>67</v>
      </c>
      <c r="G455" s="29" t="s">
        <v>67</v>
      </c>
      <c r="H455" s="28" t="s">
        <v>2375</v>
      </c>
      <c r="I455" s="28" t="s">
        <v>71</v>
      </c>
      <c r="J455" s="28" t="s">
        <v>72</v>
      </c>
      <c r="K455" s="28"/>
      <c r="L455" s="28"/>
    </row>
    <row r="456" spans="1:12" ht="32.25" customHeight="1" x14ac:dyDescent="0.2">
      <c r="A456" s="28" t="s">
        <v>2367</v>
      </c>
      <c r="B456" s="28" t="s">
        <v>496</v>
      </c>
      <c r="C456" s="28" t="s">
        <v>631</v>
      </c>
      <c r="D456" s="28" t="s">
        <v>2376</v>
      </c>
      <c r="E456" s="29"/>
      <c r="F456" s="29"/>
      <c r="G456" s="29"/>
      <c r="H456" s="28" t="s">
        <v>2377</v>
      </c>
      <c r="I456" s="28" t="s">
        <v>71</v>
      </c>
      <c r="J456" s="28" t="s">
        <v>72</v>
      </c>
      <c r="K456" s="28"/>
      <c r="L456" s="28"/>
    </row>
    <row r="457" spans="1:12" ht="32.25" customHeight="1" x14ac:dyDescent="0.2">
      <c r="A457" s="28" t="s">
        <v>2367</v>
      </c>
      <c r="B457" s="28" t="s">
        <v>496</v>
      </c>
      <c r="C457" s="28" t="s">
        <v>684</v>
      </c>
      <c r="D457" s="28" t="s">
        <v>2378</v>
      </c>
      <c r="E457" s="29" t="s">
        <v>67</v>
      </c>
      <c r="F457" s="29" t="s">
        <v>67</v>
      </c>
      <c r="G457" s="29" t="s">
        <v>67</v>
      </c>
      <c r="H457" s="28" t="s">
        <v>2379</v>
      </c>
      <c r="I457" s="28" t="s">
        <v>71</v>
      </c>
      <c r="J457" s="28" t="s">
        <v>72</v>
      </c>
      <c r="K457" s="28"/>
      <c r="L457" s="28"/>
    </row>
    <row r="458" spans="1:12" ht="32.25" customHeight="1" x14ac:dyDescent="0.2">
      <c r="A458" s="28" t="s">
        <v>2367</v>
      </c>
      <c r="B458" s="28" t="s">
        <v>496</v>
      </c>
      <c r="C458" s="28" t="s">
        <v>690</v>
      </c>
      <c r="D458" s="28" t="s">
        <v>2380</v>
      </c>
      <c r="E458" s="29"/>
      <c r="F458" s="29"/>
      <c r="G458" s="29"/>
      <c r="H458" s="28" t="s">
        <v>2381</v>
      </c>
      <c r="I458" s="28" t="s">
        <v>71</v>
      </c>
      <c r="J458" s="28" t="s">
        <v>72</v>
      </c>
      <c r="K458" s="28"/>
      <c r="L458" s="28"/>
    </row>
    <row r="459" spans="1:12" ht="32.25" customHeight="1" x14ac:dyDescent="0.2">
      <c r="A459" s="28" t="s">
        <v>2367</v>
      </c>
      <c r="B459" s="28" t="s">
        <v>496</v>
      </c>
      <c r="C459" s="28" t="s">
        <v>1826</v>
      </c>
      <c r="D459" s="28" t="s">
        <v>2382</v>
      </c>
      <c r="E459" s="29" t="s">
        <v>67</v>
      </c>
      <c r="F459" s="29" t="s">
        <v>67</v>
      </c>
      <c r="G459" s="29" t="s">
        <v>67</v>
      </c>
      <c r="H459" s="28" t="s">
        <v>2383</v>
      </c>
      <c r="I459" s="28" t="s">
        <v>71</v>
      </c>
      <c r="J459" s="28" t="s">
        <v>72</v>
      </c>
      <c r="K459" s="28"/>
      <c r="L459" s="28"/>
    </row>
    <row r="460" spans="1:12" ht="32.25" customHeight="1" x14ac:dyDescent="0.2">
      <c r="A460" s="28" t="s">
        <v>2367</v>
      </c>
      <c r="B460" s="28" t="s">
        <v>496</v>
      </c>
      <c r="C460" s="28" t="s">
        <v>1831</v>
      </c>
      <c r="D460" s="28" t="s">
        <v>2384</v>
      </c>
      <c r="E460" s="29"/>
      <c r="F460" s="29"/>
      <c r="G460" s="29" t="s">
        <v>67</v>
      </c>
      <c r="H460" s="28" t="s">
        <v>2385</v>
      </c>
      <c r="I460" s="28" t="s">
        <v>71</v>
      </c>
      <c r="J460" s="28" t="s">
        <v>72</v>
      </c>
      <c r="K460" s="28"/>
      <c r="L460" s="28"/>
    </row>
    <row r="461" spans="1:12" ht="32.25" customHeight="1" x14ac:dyDescent="0.2">
      <c r="A461" s="28" t="s">
        <v>2367</v>
      </c>
      <c r="B461" s="28" t="s">
        <v>496</v>
      </c>
      <c r="C461" s="28" t="s">
        <v>1840</v>
      </c>
      <c r="D461" s="28" t="s">
        <v>2386</v>
      </c>
      <c r="E461" s="29"/>
      <c r="F461" s="29"/>
      <c r="G461" s="29"/>
      <c r="H461" s="28" t="s">
        <v>2387</v>
      </c>
      <c r="I461" s="28" t="s">
        <v>71</v>
      </c>
      <c r="J461" s="28" t="s">
        <v>72</v>
      </c>
      <c r="K461" s="28"/>
      <c r="L461" s="28"/>
    </row>
    <row r="462" spans="1:12" ht="15" customHeight="1" x14ac:dyDescent="0.2">
      <c r="A462" s="6" t="s">
        <v>2388</v>
      </c>
      <c r="B462" s="6"/>
      <c r="C462" s="6"/>
      <c r="D462" s="6"/>
      <c r="E462" s="6"/>
      <c r="F462" s="6"/>
      <c r="G462" s="6"/>
      <c r="H462" s="6"/>
      <c r="I462" s="6"/>
      <c r="J462" s="6"/>
      <c r="K462" s="6"/>
      <c r="L462" s="6"/>
    </row>
    <row r="463" spans="1:12" ht="32.25" customHeight="1" x14ac:dyDescent="0.2">
      <c r="A463" s="28" t="s">
        <v>2389</v>
      </c>
      <c r="B463" s="28" t="s">
        <v>2050</v>
      </c>
      <c r="C463" s="28" t="s">
        <v>176</v>
      </c>
      <c r="D463" s="28" t="s">
        <v>177</v>
      </c>
      <c r="E463" s="29"/>
      <c r="F463" s="29"/>
      <c r="G463" s="29"/>
      <c r="H463" s="28" t="s">
        <v>178</v>
      </c>
      <c r="I463" s="28" t="s">
        <v>71</v>
      </c>
      <c r="J463" s="28" t="s">
        <v>72</v>
      </c>
      <c r="K463" s="28"/>
      <c r="L463" s="28"/>
    </row>
    <row r="464" spans="1:12" ht="32.25" customHeight="1" x14ac:dyDescent="0.2">
      <c r="A464" s="28" t="s">
        <v>2389</v>
      </c>
      <c r="B464" s="28" t="s">
        <v>461</v>
      </c>
      <c r="C464" s="28" t="s">
        <v>573</v>
      </c>
      <c r="D464" s="28" t="s">
        <v>574</v>
      </c>
      <c r="E464" s="29"/>
      <c r="F464" s="29"/>
      <c r="G464" s="29"/>
      <c r="H464" s="28" t="s">
        <v>576</v>
      </c>
      <c r="I464" s="28" t="s">
        <v>71</v>
      </c>
      <c r="J464" s="28" t="s">
        <v>72</v>
      </c>
      <c r="K464" s="28"/>
      <c r="L464" s="28"/>
    </row>
    <row r="465" spans="1:12" ht="21.75" customHeight="1" x14ac:dyDescent="0.2">
      <c r="A465" s="28" t="s">
        <v>2389</v>
      </c>
      <c r="B465" s="28" t="s">
        <v>461</v>
      </c>
      <c r="C465" s="28" t="s">
        <v>578</v>
      </c>
      <c r="D465" s="28" t="s">
        <v>579</v>
      </c>
      <c r="E465" s="29"/>
      <c r="F465" s="29"/>
      <c r="G465" s="29"/>
      <c r="H465" s="28" t="s">
        <v>581</v>
      </c>
      <c r="I465" s="28" t="s">
        <v>71</v>
      </c>
      <c r="J465" s="28" t="s">
        <v>72</v>
      </c>
      <c r="K465" s="28"/>
      <c r="L465" s="28"/>
    </row>
    <row r="466" spans="1:12" ht="32.25" customHeight="1" x14ac:dyDescent="0.2">
      <c r="A466" s="28" t="s">
        <v>2389</v>
      </c>
      <c r="B466" s="28" t="s">
        <v>461</v>
      </c>
      <c r="C466" s="28" t="s">
        <v>735</v>
      </c>
      <c r="D466" s="28" t="s">
        <v>736</v>
      </c>
      <c r="E466" s="29"/>
      <c r="F466" s="29"/>
      <c r="G466" s="29"/>
      <c r="H466" s="28" t="s">
        <v>2390</v>
      </c>
      <c r="I466" s="28" t="s">
        <v>71</v>
      </c>
      <c r="J466" s="28" t="s">
        <v>72</v>
      </c>
      <c r="K466" s="28"/>
      <c r="L466" s="28"/>
    </row>
    <row r="467" spans="1:12" ht="32.25" customHeight="1" x14ac:dyDescent="0.2">
      <c r="A467" s="28" t="s">
        <v>2389</v>
      </c>
      <c r="B467" s="28" t="s">
        <v>467</v>
      </c>
      <c r="C467" s="28" t="s">
        <v>849</v>
      </c>
      <c r="D467" s="28" t="s">
        <v>850</v>
      </c>
      <c r="E467" s="29"/>
      <c r="F467" s="29"/>
      <c r="G467" s="29"/>
      <c r="H467" s="28" t="s">
        <v>851</v>
      </c>
      <c r="I467" s="28" t="s">
        <v>71</v>
      </c>
      <c r="J467" s="28" t="s">
        <v>72</v>
      </c>
      <c r="K467" s="28"/>
      <c r="L467" s="28"/>
    </row>
    <row r="468" spans="1:12" ht="32.25" customHeight="1" x14ac:dyDescent="0.2">
      <c r="A468" s="28" t="s">
        <v>2389</v>
      </c>
      <c r="B468" s="28" t="s">
        <v>467</v>
      </c>
      <c r="C468" s="28" t="s">
        <v>853</v>
      </c>
      <c r="D468" s="28" t="s">
        <v>854</v>
      </c>
      <c r="E468" s="29"/>
      <c r="F468" s="29"/>
      <c r="G468" s="29"/>
      <c r="H468" s="28" t="s">
        <v>855</v>
      </c>
      <c r="I468" s="28" t="s">
        <v>71</v>
      </c>
      <c r="J468" s="28" t="s">
        <v>72</v>
      </c>
      <c r="K468" s="28"/>
      <c r="L468" s="28"/>
    </row>
    <row r="469" spans="1:12" ht="15" customHeight="1" x14ac:dyDescent="0.2">
      <c r="A469" s="28" t="s">
        <v>2389</v>
      </c>
      <c r="B469" s="28" t="s">
        <v>2051</v>
      </c>
      <c r="C469" s="28" t="s">
        <v>176</v>
      </c>
      <c r="D469" s="28" t="s">
        <v>177</v>
      </c>
      <c r="E469" s="29"/>
      <c r="F469" s="29"/>
      <c r="G469" s="29"/>
      <c r="H469" s="28" t="s">
        <v>1002</v>
      </c>
      <c r="I469" s="28" t="s">
        <v>71</v>
      </c>
      <c r="J469" s="28" t="s">
        <v>72</v>
      </c>
      <c r="K469" s="28"/>
      <c r="L469" s="28"/>
    </row>
    <row r="470" spans="1:12" ht="21.75" customHeight="1" x14ac:dyDescent="0.2">
      <c r="A470" s="28" t="s">
        <v>2389</v>
      </c>
      <c r="B470" s="28" t="s">
        <v>2051</v>
      </c>
      <c r="C470" s="28" t="s">
        <v>187</v>
      </c>
      <c r="D470" s="28" t="s">
        <v>1007</v>
      </c>
      <c r="E470" s="29"/>
      <c r="F470" s="29"/>
      <c r="G470" s="29"/>
      <c r="H470" s="28" t="s">
        <v>1008</v>
      </c>
      <c r="I470" s="28" t="s">
        <v>71</v>
      </c>
      <c r="J470" s="28" t="s">
        <v>72</v>
      </c>
      <c r="K470" s="28"/>
      <c r="L470" s="28"/>
    </row>
    <row r="471" spans="1:12" ht="32.25" customHeight="1" x14ac:dyDescent="0.2">
      <c r="A471" s="28" t="s">
        <v>2389</v>
      </c>
      <c r="B471" s="28" t="s">
        <v>499</v>
      </c>
      <c r="C471" s="28" t="s">
        <v>2391</v>
      </c>
      <c r="D471" s="28" t="s">
        <v>2392</v>
      </c>
      <c r="E471" s="29"/>
      <c r="F471" s="29"/>
      <c r="G471" s="29"/>
      <c r="H471" s="28" t="s">
        <v>2393</v>
      </c>
      <c r="I471" s="28" t="s">
        <v>71</v>
      </c>
      <c r="J471" s="28" t="s">
        <v>72</v>
      </c>
      <c r="K471" s="28"/>
      <c r="L471" s="28"/>
    </row>
    <row r="472" spans="1:12" ht="15" customHeight="1" x14ac:dyDescent="0.2">
      <c r="A472" s="6" t="s">
        <v>2394</v>
      </c>
      <c r="B472" s="6"/>
      <c r="C472" s="6"/>
      <c r="D472" s="6"/>
      <c r="E472" s="6"/>
      <c r="F472" s="6"/>
      <c r="G472" s="6"/>
      <c r="H472" s="6"/>
      <c r="I472" s="6"/>
      <c r="J472" s="6"/>
      <c r="K472" s="6"/>
      <c r="L472" s="6"/>
    </row>
    <row r="473" spans="1:12" ht="21.75" customHeight="1" x14ac:dyDescent="0.2">
      <c r="A473" s="28" t="s">
        <v>2395</v>
      </c>
      <c r="B473" s="28" t="s">
        <v>2050</v>
      </c>
      <c r="C473" s="28" t="s">
        <v>148</v>
      </c>
      <c r="D473" s="28" t="s">
        <v>149</v>
      </c>
      <c r="E473" s="29"/>
      <c r="F473" s="29" t="s">
        <v>67</v>
      </c>
      <c r="G473" s="29"/>
      <c r="H473" s="28" t="s">
        <v>150</v>
      </c>
      <c r="I473" s="28" t="s">
        <v>71</v>
      </c>
      <c r="J473" s="28" t="s">
        <v>72</v>
      </c>
      <c r="K473" s="28"/>
      <c r="L473" s="28"/>
    </row>
    <row r="474" spans="1:12" ht="32.25" customHeight="1" x14ac:dyDescent="0.2">
      <c r="A474" s="28" t="s">
        <v>2395</v>
      </c>
      <c r="B474" s="28" t="s">
        <v>505</v>
      </c>
      <c r="C474" s="28" t="s">
        <v>2106</v>
      </c>
      <c r="D474" s="28" t="s">
        <v>2396</v>
      </c>
      <c r="E474" s="29"/>
      <c r="F474" s="29"/>
      <c r="G474" s="29"/>
      <c r="H474" s="28" t="s">
        <v>2397</v>
      </c>
      <c r="I474" s="28" t="s">
        <v>71</v>
      </c>
      <c r="J474" s="28" t="s">
        <v>72</v>
      </c>
      <c r="K474" s="28"/>
      <c r="L474" s="28"/>
    </row>
    <row r="475" spans="1:12" ht="32.25" customHeight="1" x14ac:dyDescent="0.2">
      <c r="A475" s="28" t="s">
        <v>2395</v>
      </c>
      <c r="B475" s="28" t="s">
        <v>505</v>
      </c>
      <c r="C475" s="28" t="s">
        <v>549</v>
      </c>
      <c r="D475" s="28" t="s">
        <v>2398</v>
      </c>
      <c r="E475" s="29"/>
      <c r="F475" s="29"/>
      <c r="G475" s="29"/>
      <c r="H475" s="28" t="s">
        <v>2399</v>
      </c>
      <c r="I475" s="28" t="s">
        <v>71</v>
      </c>
      <c r="J475" s="28" t="s">
        <v>72</v>
      </c>
      <c r="K475" s="28"/>
      <c r="L475" s="28"/>
    </row>
    <row r="476" spans="1:12" ht="32.25" customHeight="1" x14ac:dyDescent="0.2">
      <c r="A476" s="28" t="s">
        <v>2395</v>
      </c>
      <c r="B476" s="28" t="s">
        <v>505</v>
      </c>
      <c r="C476" s="28" t="s">
        <v>2206</v>
      </c>
      <c r="D476" s="28" t="s">
        <v>2400</v>
      </c>
      <c r="E476" s="29"/>
      <c r="F476" s="29"/>
      <c r="G476" s="29"/>
      <c r="H476" s="28" t="s">
        <v>2401</v>
      </c>
      <c r="I476" s="28" t="s">
        <v>71</v>
      </c>
      <c r="J476" s="28" t="s">
        <v>72</v>
      </c>
      <c r="K476" s="28"/>
      <c r="L476" s="28"/>
    </row>
    <row r="477" spans="1:12" ht="32.25" customHeight="1" x14ac:dyDescent="0.2">
      <c r="A477" s="28" t="s">
        <v>2395</v>
      </c>
      <c r="B477" s="28" t="s">
        <v>505</v>
      </c>
      <c r="C477" s="28" t="s">
        <v>2209</v>
      </c>
      <c r="D477" s="28" t="s">
        <v>2402</v>
      </c>
      <c r="E477" s="29"/>
      <c r="F477" s="29" t="s">
        <v>67</v>
      </c>
      <c r="G477" s="29"/>
      <c r="H477" s="28" t="s">
        <v>2403</v>
      </c>
      <c r="I477" s="28" t="s">
        <v>71</v>
      </c>
      <c r="J477" s="28" t="s">
        <v>72</v>
      </c>
      <c r="K477" s="28"/>
      <c r="L477" s="28"/>
    </row>
    <row r="478" spans="1:12" ht="32.25" customHeight="1" x14ac:dyDescent="0.2">
      <c r="A478" s="28" t="s">
        <v>2395</v>
      </c>
      <c r="B478" s="28" t="s">
        <v>505</v>
      </c>
      <c r="C478" s="28" t="s">
        <v>2212</v>
      </c>
      <c r="D478" s="28" t="s">
        <v>2404</v>
      </c>
      <c r="E478" s="29" t="s">
        <v>67</v>
      </c>
      <c r="F478" s="29" t="s">
        <v>67</v>
      </c>
      <c r="G478" s="29"/>
      <c r="H478" s="28" t="s">
        <v>2405</v>
      </c>
      <c r="I478" s="28" t="s">
        <v>71</v>
      </c>
      <c r="J478" s="28" t="s">
        <v>72</v>
      </c>
      <c r="K478" s="28"/>
      <c r="L478" s="28"/>
    </row>
    <row r="479" spans="1:12" ht="32.25" customHeight="1" x14ac:dyDescent="0.2">
      <c r="A479" s="28" t="s">
        <v>2395</v>
      </c>
      <c r="B479" s="28" t="s">
        <v>505</v>
      </c>
      <c r="C479" s="28" t="s">
        <v>2215</v>
      </c>
      <c r="D479" s="28" t="s">
        <v>2406</v>
      </c>
      <c r="E479" s="29"/>
      <c r="F479" s="29" t="s">
        <v>67</v>
      </c>
      <c r="G479" s="29"/>
      <c r="H479" s="28" t="s">
        <v>2407</v>
      </c>
      <c r="I479" s="28" t="s">
        <v>71</v>
      </c>
      <c r="J479" s="28" t="s">
        <v>72</v>
      </c>
      <c r="K479" s="28"/>
      <c r="L479" s="28"/>
    </row>
    <row r="480" spans="1:12" ht="32.25" customHeight="1" x14ac:dyDescent="0.2">
      <c r="A480" s="28" t="s">
        <v>2395</v>
      </c>
      <c r="B480" s="28" t="s">
        <v>505</v>
      </c>
      <c r="C480" s="28" t="s">
        <v>2218</v>
      </c>
      <c r="D480" s="28" t="s">
        <v>2408</v>
      </c>
      <c r="E480" s="29" t="s">
        <v>67</v>
      </c>
      <c r="F480" s="29"/>
      <c r="G480" s="29"/>
      <c r="H480" s="28" t="s">
        <v>2409</v>
      </c>
      <c r="I480" s="28" t="s">
        <v>71</v>
      </c>
      <c r="J480" s="28" t="s">
        <v>72</v>
      </c>
      <c r="K480" s="28"/>
      <c r="L480" s="28"/>
    </row>
    <row r="481" spans="1:12" ht="32.25" customHeight="1" x14ac:dyDescent="0.2">
      <c r="A481" s="28" t="s">
        <v>2395</v>
      </c>
      <c r="B481" s="28" t="s">
        <v>505</v>
      </c>
      <c r="C481" s="28" t="s">
        <v>2410</v>
      </c>
      <c r="D481" s="28" t="s">
        <v>2411</v>
      </c>
      <c r="E481" s="29"/>
      <c r="F481" s="29"/>
      <c r="G481" s="29"/>
      <c r="H481" s="28" t="s">
        <v>2412</v>
      </c>
      <c r="I481" s="28" t="s">
        <v>71</v>
      </c>
      <c r="J481" s="28" t="s">
        <v>72</v>
      </c>
      <c r="K481" s="28"/>
      <c r="L481" s="28"/>
    </row>
    <row r="482" spans="1:12" ht="15" customHeight="1" x14ac:dyDescent="0.2">
      <c r="A482" s="6" t="s">
        <v>2413</v>
      </c>
      <c r="B482" s="6"/>
      <c r="C482" s="6"/>
      <c r="D482" s="6"/>
      <c r="E482" s="6"/>
      <c r="F482" s="6"/>
      <c r="G482" s="6"/>
      <c r="H482" s="6"/>
      <c r="I482" s="6"/>
      <c r="J482" s="6"/>
      <c r="K482" s="6"/>
      <c r="L482" s="6"/>
    </row>
    <row r="483" spans="1:12" ht="15" customHeight="1" x14ac:dyDescent="0.2">
      <c r="A483" s="28" t="s">
        <v>2414</v>
      </c>
      <c r="B483" s="28" t="s">
        <v>2051</v>
      </c>
      <c r="C483" s="28" t="s">
        <v>1387</v>
      </c>
      <c r="D483" s="28" t="s">
        <v>1388</v>
      </c>
      <c r="E483" s="29" t="s">
        <v>67</v>
      </c>
      <c r="F483" s="29"/>
      <c r="G483" s="29"/>
      <c r="H483" s="28" t="s">
        <v>1389</v>
      </c>
      <c r="I483" s="28" t="s">
        <v>71</v>
      </c>
      <c r="J483" s="28" t="s">
        <v>72</v>
      </c>
      <c r="K483" s="28"/>
      <c r="L483" s="28"/>
    </row>
    <row r="484" spans="1:12" ht="21.75" customHeight="1" x14ac:dyDescent="0.2">
      <c r="A484" s="28" t="s">
        <v>2414</v>
      </c>
      <c r="B484" s="28" t="s">
        <v>2051</v>
      </c>
      <c r="C484" s="28" t="s">
        <v>1392</v>
      </c>
      <c r="D484" s="28" t="s">
        <v>1393</v>
      </c>
      <c r="E484" s="29" t="s">
        <v>67</v>
      </c>
      <c r="F484" s="29"/>
      <c r="G484" s="29"/>
      <c r="H484" s="28" t="s">
        <v>1394</v>
      </c>
      <c r="I484" s="28" t="s">
        <v>71</v>
      </c>
      <c r="J484" s="28" t="s">
        <v>72</v>
      </c>
      <c r="K484" s="28"/>
      <c r="L484" s="28"/>
    </row>
    <row r="485" spans="1:12" ht="21.75" customHeight="1" x14ac:dyDescent="0.2">
      <c r="A485" s="28" t="s">
        <v>2414</v>
      </c>
      <c r="B485" s="28" t="s">
        <v>2051</v>
      </c>
      <c r="C485" s="28" t="s">
        <v>1397</v>
      </c>
      <c r="D485" s="28" t="s">
        <v>1398</v>
      </c>
      <c r="E485" s="29" t="s">
        <v>67</v>
      </c>
      <c r="F485" s="29"/>
      <c r="G485" s="29"/>
      <c r="H485" s="28" t="s">
        <v>1399</v>
      </c>
      <c r="I485" s="28" t="s">
        <v>71</v>
      </c>
      <c r="J485" s="28" t="s">
        <v>72</v>
      </c>
      <c r="K485" s="28"/>
      <c r="L485" s="28"/>
    </row>
    <row r="486" spans="1:12" ht="15" customHeight="1" x14ac:dyDescent="0.2">
      <c r="A486" s="28" t="s">
        <v>2414</v>
      </c>
      <c r="B486" s="28" t="s">
        <v>2051</v>
      </c>
      <c r="C486" s="28" t="s">
        <v>1457</v>
      </c>
      <c r="D486" s="28" t="s">
        <v>1458</v>
      </c>
      <c r="E486" s="29" t="s">
        <v>67</v>
      </c>
      <c r="F486" s="29" t="s">
        <v>67</v>
      </c>
      <c r="G486" s="29"/>
      <c r="H486" s="28" t="s">
        <v>1459</v>
      </c>
      <c r="I486" s="28" t="s">
        <v>71</v>
      </c>
      <c r="J486" s="28" t="s">
        <v>72</v>
      </c>
      <c r="K486" s="28"/>
      <c r="L486" s="28"/>
    </row>
    <row r="487" spans="1:12" ht="32.25" customHeight="1" x14ac:dyDescent="0.2">
      <c r="A487" s="28" t="s">
        <v>2414</v>
      </c>
      <c r="B487" s="28" t="s">
        <v>479</v>
      </c>
      <c r="C487" s="28" t="s">
        <v>1754</v>
      </c>
      <c r="D487" s="28" t="s">
        <v>1755</v>
      </c>
      <c r="E487" s="29" t="s">
        <v>67</v>
      </c>
      <c r="F487" s="29" t="s">
        <v>67</v>
      </c>
      <c r="G487" s="29"/>
      <c r="H487" s="28" t="s">
        <v>1756</v>
      </c>
      <c r="I487" s="28" t="s">
        <v>71</v>
      </c>
      <c r="J487" s="28" t="s">
        <v>72</v>
      </c>
      <c r="K487" s="28"/>
      <c r="L487" s="28"/>
    </row>
    <row r="488" spans="1:12" ht="32.25" customHeight="1" x14ac:dyDescent="0.2">
      <c r="A488" s="28" t="s">
        <v>2414</v>
      </c>
      <c r="B488" s="28" t="s">
        <v>479</v>
      </c>
      <c r="C488" s="28" t="s">
        <v>1846</v>
      </c>
      <c r="D488" s="28" t="s">
        <v>1847</v>
      </c>
      <c r="E488" s="29" t="s">
        <v>67</v>
      </c>
      <c r="F488" s="29" t="s">
        <v>67</v>
      </c>
      <c r="G488" s="29" t="s">
        <v>67</v>
      </c>
      <c r="H488" s="28" t="s">
        <v>2415</v>
      </c>
      <c r="I488" s="28" t="s">
        <v>71</v>
      </c>
      <c r="J488" s="28" t="s">
        <v>72</v>
      </c>
      <c r="K488" s="28"/>
      <c r="L488" s="28"/>
    </row>
    <row r="489" spans="1:12" ht="32.25" customHeight="1" x14ac:dyDescent="0.2">
      <c r="A489" s="28" t="s">
        <v>2414</v>
      </c>
      <c r="B489" s="28" t="s">
        <v>484</v>
      </c>
      <c r="C489" s="28" t="s">
        <v>2003</v>
      </c>
      <c r="D489" s="28" t="s">
        <v>2004</v>
      </c>
      <c r="E489" s="29" t="s">
        <v>67</v>
      </c>
      <c r="F489" s="29" t="s">
        <v>67</v>
      </c>
      <c r="G489" s="29"/>
      <c r="H489" s="28" t="s">
        <v>2005</v>
      </c>
      <c r="I489" s="28" t="s">
        <v>71</v>
      </c>
      <c r="J489" s="28" t="s">
        <v>72</v>
      </c>
      <c r="K489" s="28"/>
      <c r="L489" s="28"/>
    </row>
    <row r="490" spans="1:12" ht="32.25" customHeight="1" x14ac:dyDescent="0.2">
      <c r="A490" s="28" t="s">
        <v>2414</v>
      </c>
      <c r="B490" s="28" t="s">
        <v>2052</v>
      </c>
      <c r="C490" s="28" t="s">
        <v>804</v>
      </c>
      <c r="D490" s="28" t="s">
        <v>2416</v>
      </c>
      <c r="E490" s="29" t="s">
        <v>67</v>
      </c>
      <c r="F490" s="29" t="s">
        <v>67</v>
      </c>
      <c r="G490" s="29"/>
      <c r="H490" s="28" t="s">
        <v>2417</v>
      </c>
      <c r="I490" s="28" t="s">
        <v>71</v>
      </c>
      <c r="J490" s="28" t="s">
        <v>72</v>
      </c>
      <c r="K490" s="28"/>
      <c r="L490" s="28"/>
    </row>
    <row r="491" spans="1:12" ht="32.25" customHeight="1" x14ac:dyDescent="0.2">
      <c r="A491" s="28" t="s">
        <v>2414</v>
      </c>
      <c r="B491" s="28" t="s">
        <v>2052</v>
      </c>
      <c r="C491" s="28" t="s">
        <v>197</v>
      </c>
      <c r="D491" s="28" t="s">
        <v>2418</v>
      </c>
      <c r="E491" s="29" t="s">
        <v>67</v>
      </c>
      <c r="F491" s="29" t="s">
        <v>67</v>
      </c>
      <c r="G491" s="29" t="s">
        <v>67</v>
      </c>
      <c r="H491" s="28" t="s">
        <v>2419</v>
      </c>
      <c r="I491" s="28" t="s">
        <v>71</v>
      </c>
      <c r="J491" s="28" t="s">
        <v>72</v>
      </c>
      <c r="K491" s="28"/>
      <c r="L491" s="28"/>
    </row>
    <row r="492" spans="1:12" ht="15" customHeight="1" x14ac:dyDescent="0.2">
      <c r="A492" s="6" t="s">
        <v>2420</v>
      </c>
      <c r="B492" s="6"/>
      <c r="C492" s="6"/>
      <c r="D492" s="6"/>
      <c r="E492" s="6"/>
      <c r="F492" s="6"/>
      <c r="G492" s="6"/>
      <c r="H492" s="6"/>
      <c r="I492" s="6"/>
      <c r="J492" s="6"/>
      <c r="K492" s="6"/>
      <c r="L492" s="6"/>
    </row>
    <row r="493" spans="1:12" ht="21.75" customHeight="1" x14ac:dyDescent="0.2">
      <c r="A493" s="28" t="s">
        <v>2421</v>
      </c>
      <c r="B493" s="28" t="s">
        <v>2050</v>
      </c>
      <c r="C493" s="28" t="s">
        <v>93</v>
      </c>
      <c r="D493" s="28" t="s">
        <v>95</v>
      </c>
      <c r="E493" s="29" t="s">
        <v>67</v>
      </c>
      <c r="F493" s="29" t="s">
        <v>67</v>
      </c>
      <c r="G493" s="29" t="s">
        <v>67</v>
      </c>
      <c r="H493" s="28" t="s">
        <v>96</v>
      </c>
      <c r="I493" s="28" t="s">
        <v>71</v>
      </c>
      <c r="J493" s="28" t="s">
        <v>72</v>
      </c>
      <c r="K493" s="28"/>
      <c r="L493" s="28"/>
    </row>
    <row r="494" spans="1:12" ht="21.75" customHeight="1" x14ac:dyDescent="0.2">
      <c r="A494" s="28" t="s">
        <v>2421</v>
      </c>
      <c r="B494" s="28" t="s">
        <v>2050</v>
      </c>
      <c r="C494" s="28" t="s">
        <v>100</v>
      </c>
      <c r="D494" s="28" t="s">
        <v>101</v>
      </c>
      <c r="E494" s="29" t="s">
        <v>67</v>
      </c>
      <c r="F494" s="29" t="s">
        <v>67</v>
      </c>
      <c r="G494" s="29" t="s">
        <v>67</v>
      </c>
      <c r="H494" s="28" t="s">
        <v>102</v>
      </c>
      <c r="I494" s="28" t="s">
        <v>71</v>
      </c>
      <c r="J494" s="28" t="s">
        <v>72</v>
      </c>
      <c r="K494" s="28"/>
      <c r="L494" s="28"/>
    </row>
    <row r="495" spans="1:12" ht="15" customHeight="1" x14ac:dyDescent="0.2">
      <c r="A495" s="28" t="s">
        <v>2421</v>
      </c>
      <c r="B495" s="28" t="s">
        <v>2050</v>
      </c>
      <c r="C495" s="28" t="s">
        <v>112</v>
      </c>
      <c r="D495" s="28" t="s">
        <v>113</v>
      </c>
      <c r="E495" s="29" t="s">
        <v>67</v>
      </c>
      <c r="F495" s="29" t="s">
        <v>67</v>
      </c>
      <c r="G495" s="29" t="s">
        <v>67</v>
      </c>
      <c r="H495" s="28" t="s">
        <v>114</v>
      </c>
      <c r="I495" s="28" t="s">
        <v>71</v>
      </c>
      <c r="J495" s="28" t="s">
        <v>72</v>
      </c>
      <c r="K495" s="28"/>
      <c r="L495" s="28"/>
    </row>
    <row r="496" spans="1:12" ht="21.75" customHeight="1" x14ac:dyDescent="0.2">
      <c r="A496" s="28" t="s">
        <v>2421</v>
      </c>
      <c r="B496" s="28" t="s">
        <v>2050</v>
      </c>
      <c r="C496" s="28" t="s">
        <v>124</v>
      </c>
      <c r="D496" s="28" t="s">
        <v>125</v>
      </c>
      <c r="E496" s="29"/>
      <c r="F496" s="29" t="s">
        <v>67</v>
      </c>
      <c r="G496" s="29" t="s">
        <v>67</v>
      </c>
      <c r="H496" s="28" t="s">
        <v>126</v>
      </c>
      <c r="I496" s="28" t="s">
        <v>71</v>
      </c>
      <c r="J496" s="28" t="s">
        <v>72</v>
      </c>
      <c r="K496" s="28"/>
      <c r="L496" s="28"/>
    </row>
    <row r="497" spans="1:12" ht="21.75" customHeight="1" x14ac:dyDescent="0.2">
      <c r="A497" s="28" t="s">
        <v>2421</v>
      </c>
      <c r="B497" s="28" t="s">
        <v>2050</v>
      </c>
      <c r="C497" s="28" t="s">
        <v>336</v>
      </c>
      <c r="D497" s="28" t="s">
        <v>337</v>
      </c>
      <c r="E497" s="29"/>
      <c r="F497" s="29"/>
      <c r="G497" s="29"/>
      <c r="H497" s="28" t="s">
        <v>338</v>
      </c>
      <c r="I497" s="28" t="s">
        <v>71</v>
      </c>
      <c r="J497" s="28" t="s">
        <v>72</v>
      </c>
      <c r="K497" s="28"/>
      <c r="L497" s="28"/>
    </row>
    <row r="498" spans="1:12" ht="21.75" customHeight="1" x14ac:dyDescent="0.2">
      <c r="A498" s="28" t="s">
        <v>2421</v>
      </c>
      <c r="B498" s="28" t="s">
        <v>2051</v>
      </c>
      <c r="C498" s="28" t="s">
        <v>947</v>
      </c>
      <c r="D498" s="28" t="s">
        <v>1105</v>
      </c>
      <c r="E498" s="29"/>
      <c r="F498" s="29" t="s">
        <v>67</v>
      </c>
      <c r="G498" s="29"/>
      <c r="H498" s="28" t="s">
        <v>1106</v>
      </c>
      <c r="I498" s="28" t="s">
        <v>71</v>
      </c>
      <c r="J498" s="28" t="s">
        <v>72</v>
      </c>
      <c r="K498" s="28"/>
      <c r="L498" s="28"/>
    </row>
    <row r="499" spans="1:12" ht="21.75" customHeight="1" x14ac:dyDescent="0.2">
      <c r="A499" s="28" t="s">
        <v>2421</v>
      </c>
      <c r="B499" s="28" t="s">
        <v>2051</v>
      </c>
      <c r="C499" s="28" t="s">
        <v>1117</v>
      </c>
      <c r="D499" s="28" t="s">
        <v>1118</v>
      </c>
      <c r="E499" s="29" t="s">
        <v>67</v>
      </c>
      <c r="F499" s="29"/>
      <c r="G499" s="29"/>
      <c r="H499" s="28" t="s">
        <v>1119</v>
      </c>
      <c r="I499" s="28" t="s">
        <v>71</v>
      </c>
      <c r="J499" s="28" t="s">
        <v>72</v>
      </c>
      <c r="K499" s="28"/>
      <c r="L499" s="28"/>
    </row>
    <row r="500" spans="1:12" ht="15" customHeight="1" x14ac:dyDescent="0.2">
      <c r="A500" s="28" t="s">
        <v>2421</v>
      </c>
      <c r="B500" s="28" t="s">
        <v>2051</v>
      </c>
      <c r="C500" s="28" t="s">
        <v>1122</v>
      </c>
      <c r="D500" s="28" t="s">
        <v>1123</v>
      </c>
      <c r="E500" s="29" t="s">
        <v>67</v>
      </c>
      <c r="F500" s="29"/>
      <c r="G500" s="29"/>
      <c r="H500" s="28" t="s">
        <v>1124</v>
      </c>
      <c r="I500" s="28" t="s">
        <v>71</v>
      </c>
      <c r="J500" s="28" t="s">
        <v>72</v>
      </c>
      <c r="K500" s="28"/>
      <c r="L500" s="28"/>
    </row>
    <row r="501" spans="1:12" ht="15" customHeight="1" x14ac:dyDescent="0.2">
      <c r="A501" s="28" t="s">
        <v>2421</v>
      </c>
      <c r="B501" s="28" t="s">
        <v>2051</v>
      </c>
      <c r="C501" s="28" t="s">
        <v>1127</v>
      </c>
      <c r="D501" s="28" t="s">
        <v>1128</v>
      </c>
      <c r="E501" s="29" t="s">
        <v>67</v>
      </c>
      <c r="F501" s="29" t="s">
        <v>67</v>
      </c>
      <c r="G501" s="29" t="s">
        <v>67</v>
      </c>
      <c r="H501" s="28" t="s">
        <v>1129</v>
      </c>
      <c r="I501" s="28" t="s">
        <v>71</v>
      </c>
      <c r="J501" s="28" t="s">
        <v>72</v>
      </c>
      <c r="K501" s="28"/>
      <c r="L501" s="28"/>
    </row>
    <row r="502" spans="1:12" ht="15" customHeight="1" x14ac:dyDescent="0.2">
      <c r="A502" s="6" t="s">
        <v>2422</v>
      </c>
      <c r="B502" s="6"/>
      <c r="C502" s="6"/>
      <c r="D502" s="6"/>
      <c r="E502" s="6"/>
      <c r="F502" s="6"/>
      <c r="G502" s="6"/>
      <c r="H502" s="6"/>
      <c r="I502" s="6"/>
      <c r="J502" s="6"/>
      <c r="K502" s="6"/>
      <c r="L502" s="6"/>
    </row>
    <row r="503" spans="1:12" ht="15" customHeight="1" x14ac:dyDescent="0.2">
      <c r="A503" s="28" t="s">
        <v>2423</v>
      </c>
      <c r="B503" s="28" t="s">
        <v>2050</v>
      </c>
      <c r="C503" s="28" t="s">
        <v>419</v>
      </c>
      <c r="D503" s="28" t="s">
        <v>420</v>
      </c>
      <c r="E503" s="29"/>
      <c r="F503" s="29"/>
      <c r="G503" s="29"/>
      <c r="H503" s="28" t="s">
        <v>421</v>
      </c>
      <c r="I503" s="28" t="s">
        <v>71</v>
      </c>
      <c r="J503" s="28" t="s">
        <v>72</v>
      </c>
      <c r="K503" s="28"/>
      <c r="L503" s="28"/>
    </row>
    <row r="504" spans="1:12" ht="21.75" customHeight="1" x14ac:dyDescent="0.2">
      <c r="A504" s="28" t="s">
        <v>2423</v>
      </c>
      <c r="B504" s="28" t="s">
        <v>2050</v>
      </c>
      <c r="C504" s="28" t="s">
        <v>429</v>
      </c>
      <c r="D504" s="28" t="s">
        <v>430</v>
      </c>
      <c r="E504" s="29"/>
      <c r="F504" s="29"/>
      <c r="G504" s="29"/>
      <c r="H504" s="28" t="s">
        <v>431</v>
      </c>
      <c r="I504" s="28" t="s">
        <v>71</v>
      </c>
      <c r="J504" s="28" t="s">
        <v>72</v>
      </c>
      <c r="K504" s="28"/>
      <c r="L504" s="28"/>
    </row>
    <row r="505" spans="1:12" ht="32.25" customHeight="1" x14ac:dyDescent="0.2">
      <c r="A505" s="28" t="s">
        <v>2423</v>
      </c>
      <c r="B505" s="28" t="s">
        <v>461</v>
      </c>
      <c r="C505" s="28" t="s">
        <v>618</v>
      </c>
      <c r="D505" s="28" t="s">
        <v>619</v>
      </c>
      <c r="E505" s="29"/>
      <c r="F505" s="29"/>
      <c r="G505" s="29"/>
      <c r="H505" s="28" t="s">
        <v>621</v>
      </c>
      <c r="I505" s="28" t="s">
        <v>71</v>
      </c>
      <c r="J505" s="28" t="s">
        <v>72</v>
      </c>
      <c r="K505" s="28"/>
      <c r="L505" s="28"/>
    </row>
    <row r="506" spans="1:12" ht="32.25" customHeight="1" x14ac:dyDescent="0.2">
      <c r="A506" s="28" t="s">
        <v>2423</v>
      </c>
      <c r="B506" s="28" t="s">
        <v>464</v>
      </c>
      <c r="C506" s="28" t="s">
        <v>753</v>
      </c>
      <c r="D506" s="28" t="s">
        <v>754</v>
      </c>
      <c r="E506" s="29" t="s">
        <v>67</v>
      </c>
      <c r="F506" s="29"/>
      <c r="G506" s="29"/>
      <c r="H506" s="28" t="s">
        <v>2424</v>
      </c>
      <c r="I506" s="28" t="s">
        <v>71</v>
      </c>
      <c r="J506" s="28" t="s">
        <v>72</v>
      </c>
      <c r="K506" s="28"/>
      <c r="L506" s="28"/>
    </row>
    <row r="507" spans="1:12" ht="21.75" customHeight="1" x14ac:dyDescent="0.2">
      <c r="A507" s="28" t="s">
        <v>2423</v>
      </c>
      <c r="B507" s="28" t="s">
        <v>470</v>
      </c>
      <c r="C507" s="28" t="s">
        <v>930</v>
      </c>
      <c r="D507" s="28" t="s">
        <v>931</v>
      </c>
      <c r="E507" s="29"/>
      <c r="F507" s="29"/>
      <c r="G507" s="29"/>
      <c r="H507" s="28" t="s">
        <v>932</v>
      </c>
      <c r="I507" s="28" t="s">
        <v>71</v>
      </c>
      <c r="J507" s="28" t="s">
        <v>72</v>
      </c>
      <c r="K507" s="28"/>
      <c r="L507" s="28"/>
    </row>
    <row r="508" spans="1:12" ht="21.75" customHeight="1" x14ac:dyDescent="0.2">
      <c r="A508" s="28" t="s">
        <v>2423</v>
      </c>
      <c r="B508" s="28" t="s">
        <v>2051</v>
      </c>
      <c r="C508" s="28" t="s">
        <v>951</v>
      </c>
      <c r="D508" s="28" t="s">
        <v>1109</v>
      </c>
      <c r="E508" s="29" t="s">
        <v>67</v>
      </c>
      <c r="F508" s="29"/>
      <c r="G508" s="29"/>
      <c r="H508" s="28" t="s">
        <v>1110</v>
      </c>
      <c r="I508" s="28" t="s">
        <v>71</v>
      </c>
      <c r="J508" s="28" t="s">
        <v>72</v>
      </c>
      <c r="K508" s="28"/>
      <c r="L508" s="28"/>
    </row>
    <row r="509" spans="1:12" ht="21.75" customHeight="1" x14ac:dyDescent="0.2">
      <c r="A509" s="28" t="s">
        <v>2423</v>
      </c>
      <c r="B509" s="28" t="s">
        <v>476</v>
      </c>
      <c r="C509" s="28" t="s">
        <v>88</v>
      </c>
      <c r="D509" s="28" t="s">
        <v>1624</v>
      </c>
      <c r="E509" s="29"/>
      <c r="F509" s="29" t="s">
        <v>67</v>
      </c>
      <c r="G509" s="29"/>
      <c r="H509" s="28" t="s">
        <v>1625</v>
      </c>
      <c r="I509" s="28" t="s">
        <v>71</v>
      </c>
      <c r="J509" s="28" t="s">
        <v>72</v>
      </c>
      <c r="K509" s="28"/>
      <c r="L509" s="28"/>
    </row>
    <row r="510" spans="1:12" ht="21.75" customHeight="1" x14ac:dyDescent="0.2">
      <c r="A510" s="28" t="s">
        <v>2423</v>
      </c>
      <c r="B510" s="28" t="s">
        <v>493</v>
      </c>
      <c r="C510" s="28" t="s">
        <v>225</v>
      </c>
      <c r="D510" s="28" t="s">
        <v>2425</v>
      </c>
      <c r="E510" s="29" t="s">
        <v>67</v>
      </c>
      <c r="F510" s="29"/>
      <c r="G510" s="29"/>
      <c r="H510" s="28" t="s">
        <v>2426</v>
      </c>
      <c r="I510" s="28" t="s">
        <v>71</v>
      </c>
      <c r="J510" s="28" t="s">
        <v>72</v>
      </c>
      <c r="K510" s="28"/>
      <c r="L510" s="28"/>
    </row>
    <row r="511" spans="1:12" ht="32.25" customHeight="1" x14ac:dyDescent="0.2">
      <c r="A511" s="28" t="s">
        <v>2423</v>
      </c>
      <c r="B511" s="28" t="s">
        <v>499</v>
      </c>
      <c r="C511" s="28" t="s">
        <v>2427</v>
      </c>
      <c r="D511" s="28" t="s">
        <v>2428</v>
      </c>
      <c r="E511" s="29"/>
      <c r="F511" s="29"/>
      <c r="G511" s="29"/>
      <c r="H511" s="28" t="s">
        <v>2429</v>
      </c>
      <c r="I511" s="28" t="s">
        <v>71</v>
      </c>
      <c r="J511" s="28" t="s">
        <v>72</v>
      </c>
      <c r="K511" s="28"/>
      <c r="L511" s="28"/>
    </row>
    <row r="512" spans="1:12" ht="15" customHeight="1" x14ac:dyDescent="0.2">
      <c r="A512" s="6" t="s">
        <v>2430</v>
      </c>
      <c r="B512" s="6"/>
      <c r="C512" s="6"/>
      <c r="D512" s="6"/>
      <c r="E512" s="6"/>
      <c r="F512" s="6"/>
      <c r="G512" s="6"/>
      <c r="H512" s="6"/>
      <c r="I512" s="6"/>
      <c r="J512" s="6"/>
      <c r="K512" s="6"/>
      <c r="L512" s="6"/>
    </row>
    <row r="513" spans="1:12" ht="15" customHeight="1" x14ac:dyDescent="0.2">
      <c r="A513" s="28" t="s">
        <v>2431</v>
      </c>
      <c r="B513" s="28" t="s">
        <v>2051</v>
      </c>
      <c r="C513" s="28" t="s">
        <v>1202</v>
      </c>
      <c r="D513" s="28" t="s">
        <v>1203</v>
      </c>
      <c r="E513" s="29"/>
      <c r="F513" s="29"/>
      <c r="G513" s="29" t="s">
        <v>67</v>
      </c>
      <c r="H513" s="28" t="s">
        <v>1204</v>
      </c>
      <c r="I513" s="28" t="s">
        <v>71</v>
      </c>
      <c r="J513" s="28" t="s">
        <v>72</v>
      </c>
      <c r="K513" s="28"/>
      <c r="L513" s="28"/>
    </row>
    <row r="514" spans="1:12" ht="21.75" customHeight="1" x14ac:dyDescent="0.2">
      <c r="A514" s="28" t="s">
        <v>2431</v>
      </c>
      <c r="B514" s="28" t="s">
        <v>2051</v>
      </c>
      <c r="C514" s="28" t="s">
        <v>1207</v>
      </c>
      <c r="D514" s="28" t="s">
        <v>1208</v>
      </c>
      <c r="E514" s="29"/>
      <c r="F514" s="29"/>
      <c r="G514" s="29" t="s">
        <v>67</v>
      </c>
      <c r="H514" s="28" t="s">
        <v>1209</v>
      </c>
      <c r="I514" s="28" t="s">
        <v>71</v>
      </c>
      <c r="J514" s="28" t="s">
        <v>72</v>
      </c>
      <c r="K514" s="28"/>
      <c r="L514" s="28"/>
    </row>
    <row r="515" spans="1:12" ht="15" customHeight="1" x14ac:dyDescent="0.2">
      <c r="A515" s="28" t="s">
        <v>2431</v>
      </c>
      <c r="B515" s="28" t="s">
        <v>2051</v>
      </c>
      <c r="C515" s="28" t="s">
        <v>1324</v>
      </c>
      <c r="D515" s="28" t="s">
        <v>1325</v>
      </c>
      <c r="E515" s="29"/>
      <c r="F515" s="29"/>
      <c r="G515" s="29" t="s">
        <v>67</v>
      </c>
      <c r="H515" s="28" t="s">
        <v>1326</v>
      </c>
      <c r="I515" s="28" t="s">
        <v>71</v>
      </c>
      <c r="J515" s="28" t="s">
        <v>72</v>
      </c>
      <c r="K515" s="28"/>
      <c r="L515" s="28"/>
    </row>
    <row r="516" spans="1:12" ht="15" customHeight="1" x14ac:dyDescent="0.2">
      <c r="A516" s="28" t="s">
        <v>2431</v>
      </c>
      <c r="B516" s="28" t="s">
        <v>2051</v>
      </c>
      <c r="C516" s="28" t="s">
        <v>1367</v>
      </c>
      <c r="D516" s="28" t="s">
        <v>1368</v>
      </c>
      <c r="E516" s="29"/>
      <c r="F516" s="29"/>
      <c r="G516" s="29" t="s">
        <v>67</v>
      </c>
      <c r="H516" s="28" t="s">
        <v>1369</v>
      </c>
      <c r="I516" s="28" t="s">
        <v>71</v>
      </c>
      <c r="J516" s="28" t="s">
        <v>72</v>
      </c>
      <c r="K516" s="28"/>
      <c r="L516" s="28"/>
    </row>
    <row r="517" spans="1:12" ht="15" customHeight="1" x14ac:dyDescent="0.2">
      <c r="A517" s="28" t="s">
        <v>2431</v>
      </c>
      <c r="B517" s="28" t="s">
        <v>2051</v>
      </c>
      <c r="C517" s="28" t="s">
        <v>1402</v>
      </c>
      <c r="D517" s="28" t="s">
        <v>1403</v>
      </c>
      <c r="E517" s="29"/>
      <c r="F517" s="29" t="s">
        <v>67</v>
      </c>
      <c r="G517" s="29" t="s">
        <v>67</v>
      </c>
      <c r="H517" s="28" t="s">
        <v>1404</v>
      </c>
      <c r="I517" s="28" t="s">
        <v>71</v>
      </c>
      <c r="J517" s="28" t="s">
        <v>72</v>
      </c>
      <c r="K517" s="28"/>
      <c r="L517" s="28"/>
    </row>
    <row r="518" spans="1:12" ht="15" customHeight="1" x14ac:dyDescent="0.2">
      <c r="A518" s="28" t="s">
        <v>2431</v>
      </c>
      <c r="B518" s="28" t="s">
        <v>2051</v>
      </c>
      <c r="C518" s="28" t="s">
        <v>1407</v>
      </c>
      <c r="D518" s="28" t="s">
        <v>1408</v>
      </c>
      <c r="E518" s="29"/>
      <c r="F518" s="29"/>
      <c r="G518" s="29" t="s">
        <v>67</v>
      </c>
      <c r="H518" s="28" t="s">
        <v>1409</v>
      </c>
      <c r="I518" s="28" t="s">
        <v>71</v>
      </c>
      <c r="J518" s="28" t="s">
        <v>72</v>
      </c>
      <c r="K518" s="28"/>
      <c r="L518" s="28"/>
    </row>
    <row r="519" spans="1:12" ht="21.75" customHeight="1" x14ac:dyDescent="0.2">
      <c r="A519" s="28" t="s">
        <v>2431</v>
      </c>
      <c r="B519" s="28" t="s">
        <v>2051</v>
      </c>
      <c r="C519" s="28" t="s">
        <v>1507</v>
      </c>
      <c r="D519" s="28" t="s">
        <v>1508</v>
      </c>
      <c r="E519" s="29" t="s">
        <v>67</v>
      </c>
      <c r="F519" s="29"/>
      <c r="G519" s="29" t="s">
        <v>67</v>
      </c>
      <c r="H519" s="28" t="s">
        <v>1509</v>
      </c>
      <c r="I519" s="28" t="s">
        <v>71</v>
      </c>
      <c r="J519" s="28" t="s">
        <v>72</v>
      </c>
      <c r="K519" s="28"/>
      <c r="L519" s="28"/>
    </row>
    <row r="520" spans="1:12" ht="32.25" customHeight="1" x14ac:dyDescent="0.2">
      <c r="A520" s="28" t="s">
        <v>2431</v>
      </c>
      <c r="B520" s="28" t="s">
        <v>496</v>
      </c>
      <c r="C520" s="28" t="s">
        <v>602</v>
      </c>
      <c r="D520" s="28" t="s">
        <v>2432</v>
      </c>
      <c r="E520" s="29"/>
      <c r="F520" s="29"/>
      <c r="G520" s="29" t="s">
        <v>67</v>
      </c>
      <c r="H520" s="28" t="s">
        <v>2433</v>
      </c>
      <c r="I520" s="28" t="s">
        <v>71</v>
      </c>
      <c r="J520" s="28" t="s">
        <v>72</v>
      </c>
      <c r="K520" s="28"/>
      <c r="L520" s="28"/>
    </row>
    <row r="521" spans="1:12" ht="15" customHeight="1" x14ac:dyDescent="0.2">
      <c r="A521" s="6" t="s">
        <v>2434</v>
      </c>
      <c r="B521" s="6"/>
      <c r="C521" s="6"/>
      <c r="D521" s="6"/>
      <c r="E521" s="6"/>
      <c r="F521" s="6"/>
      <c r="G521" s="6"/>
      <c r="H521" s="6"/>
      <c r="I521" s="6"/>
      <c r="J521" s="6"/>
      <c r="K521" s="6"/>
      <c r="L521" s="6"/>
    </row>
    <row r="522" spans="1:12" ht="21.75" customHeight="1" x14ac:dyDescent="0.2">
      <c r="A522" s="28" t="s">
        <v>2435</v>
      </c>
      <c r="B522" s="28" t="s">
        <v>464</v>
      </c>
      <c r="C522" s="28" t="s">
        <v>786</v>
      </c>
      <c r="D522" s="28" t="s">
        <v>787</v>
      </c>
      <c r="E522" s="29"/>
      <c r="F522" s="29"/>
      <c r="G522" s="29"/>
      <c r="H522" s="28" t="s">
        <v>788</v>
      </c>
      <c r="I522" s="28" t="s">
        <v>71</v>
      </c>
      <c r="J522" s="28" t="s">
        <v>72</v>
      </c>
      <c r="K522" s="28"/>
      <c r="L522" s="28"/>
    </row>
    <row r="523" spans="1:12" ht="15" customHeight="1" x14ac:dyDescent="0.2">
      <c r="A523" s="28" t="s">
        <v>2435</v>
      </c>
      <c r="B523" s="28" t="s">
        <v>2051</v>
      </c>
      <c r="C523" s="28" t="s">
        <v>1172</v>
      </c>
      <c r="D523" s="28" t="s">
        <v>1173</v>
      </c>
      <c r="E523" s="29" t="s">
        <v>67</v>
      </c>
      <c r="F523" s="29" t="s">
        <v>67</v>
      </c>
      <c r="G523" s="29" t="s">
        <v>67</v>
      </c>
      <c r="H523" s="28" t="s">
        <v>1174</v>
      </c>
      <c r="I523" s="28" t="s">
        <v>71</v>
      </c>
      <c r="J523" s="28" t="s">
        <v>72</v>
      </c>
      <c r="K523" s="28"/>
      <c r="L523" s="28"/>
    </row>
    <row r="524" spans="1:12" ht="15" customHeight="1" x14ac:dyDescent="0.2">
      <c r="A524" s="28" t="s">
        <v>2435</v>
      </c>
      <c r="B524" s="28" t="s">
        <v>2051</v>
      </c>
      <c r="C524" s="28" t="s">
        <v>265</v>
      </c>
      <c r="D524" s="28" t="s">
        <v>1346</v>
      </c>
      <c r="E524" s="29" t="s">
        <v>67</v>
      </c>
      <c r="F524" s="29" t="s">
        <v>67</v>
      </c>
      <c r="G524" s="29" t="s">
        <v>67</v>
      </c>
      <c r="H524" s="28" t="s">
        <v>1347</v>
      </c>
      <c r="I524" s="28" t="s">
        <v>71</v>
      </c>
      <c r="J524" s="28" t="s">
        <v>72</v>
      </c>
      <c r="K524" s="28"/>
      <c r="L524" s="28"/>
    </row>
    <row r="525" spans="1:12" ht="15" customHeight="1" x14ac:dyDescent="0.2">
      <c r="A525" s="28" t="s">
        <v>2435</v>
      </c>
      <c r="B525" s="28" t="s">
        <v>2051</v>
      </c>
      <c r="C525" s="28" t="s">
        <v>1437</v>
      </c>
      <c r="D525" s="28" t="s">
        <v>1438</v>
      </c>
      <c r="E525" s="29" t="s">
        <v>67</v>
      </c>
      <c r="F525" s="29" t="s">
        <v>67</v>
      </c>
      <c r="G525" s="29" t="s">
        <v>67</v>
      </c>
      <c r="H525" s="28" t="s">
        <v>1439</v>
      </c>
      <c r="I525" s="28" t="s">
        <v>71</v>
      </c>
      <c r="J525" s="28" t="s">
        <v>72</v>
      </c>
      <c r="K525" s="28"/>
      <c r="L525" s="28"/>
    </row>
    <row r="526" spans="1:12" ht="21.75" customHeight="1" x14ac:dyDescent="0.2">
      <c r="A526" s="28" t="s">
        <v>2435</v>
      </c>
      <c r="B526" s="28" t="s">
        <v>2051</v>
      </c>
      <c r="C526" s="28" t="s">
        <v>1442</v>
      </c>
      <c r="D526" s="28" t="s">
        <v>1443</v>
      </c>
      <c r="E526" s="29" t="s">
        <v>67</v>
      </c>
      <c r="F526" s="29" t="s">
        <v>67</v>
      </c>
      <c r="G526" s="29" t="s">
        <v>67</v>
      </c>
      <c r="H526" s="28" t="s">
        <v>1444</v>
      </c>
      <c r="I526" s="28" t="s">
        <v>71</v>
      </c>
      <c r="J526" s="28" t="s">
        <v>72</v>
      </c>
      <c r="K526" s="28"/>
      <c r="L526" s="28"/>
    </row>
    <row r="527" spans="1:12" ht="15" customHeight="1" x14ac:dyDescent="0.2">
      <c r="A527" s="28" t="s">
        <v>2435</v>
      </c>
      <c r="B527" s="28" t="s">
        <v>2051</v>
      </c>
      <c r="C527" s="28" t="s">
        <v>1447</v>
      </c>
      <c r="D527" s="28" t="s">
        <v>1448</v>
      </c>
      <c r="E527" s="29" t="s">
        <v>67</v>
      </c>
      <c r="F527" s="29"/>
      <c r="G527" s="29"/>
      <c r="H527" s="28" t="s">
        <v>1449</v>
      </c>
      <c r="I527" s="28" t="s">
        <v>71</v>
      </c>
      <c r="J527" s="28" t="s">
        <v>72</v>
      </c>
      <c r="K527" s="28"/>
      <c r="L527" s="28"/>
    </row>
    <row r="528" spans="1:12" ht="15" customHeight="1" x14ac:dyDescent="0.2">
      <c r="A528" s="28" t="s">
        <v>2435</v>
      </c>
      <c r="B528" s="28" t="s">
        <v>2051</v>
      </c>
      <c r="C528" s="28" t="s">
        <v>1452</v>
      </c>
      <c r="D528" s="28" t="s">
        <v>1453</v>
      </c>
      <c r="E528" s="29" t="s">
        <v>67</v>
      </c>
      <c r="F528" s="29"/>
      <c r="G528" s="29"/>
      <c r="H528" s="28" t="s">
        <v>1454</v>
      </c>
      <c r="I528" s="28" t="s">
        <v>71</v>
      </c>
      <c r="J528" s="28" t="s">
        <v>72</v>
      </c>
      <c r="K528" s="28"/>
      <c r="L528" s="28"/>
    </row>
    <row r="529" spans="1:12" ht="15" customHeight="1" x14ac:dyDescent="0.2">
      <c r="A529" s="6" t="s">
        <v>2436</v>
      </c>
      <c r="B529" s="6"/>
      <c r="C529" s="6"/>
      <c r="D529" s="6"/>
      <c r="E529" s="6"/>
      <c r="F529" s="6"/>
      <c r="G529" s="6"/>
      <c r="H529" s="6"/>
      <c r="I529" s="6"/>
      <c r="J529" s="6"/>
      <c r="K529" s="6"/>
      <c r="L529" s="6"/>
    </row>
    <row r="530" spans="1:12" ht="32.25" customHeight="1" x14ac:dyDescent="0.2">
      <c r="A530" s="28" t="s">
        <v>2437</v>
      </c>
      <c r="B530" s="28" t="s">
        <v>9</v>
      </c>
      <c r="C530" s="28" t="s">
        <v>1912</v>
      </c>
      <c r="D530" s="28" t="s">
        <v>1913</v>
      </c>
      <c r="E530" s="29" t="s">
        <v>67</v>
      </c>
      <c r="F530" s="29" t="s">
        <v>67</v>
      </c>
      <c r="G530" s="29" t="s">
        <v>67</v>
      </c>
      <c r="H530" s="28" t="s">
        <v>1914</v>
      </c>
      <c r="I530" s="28" t="s">
        <v>71</v>
      </c>
      <c r="J530" s="28" t="s">
        <v>72</v>
      </c>
      <c r="K530" s="28"/>
      <c r="L530" s="28"/>
    </row>
    <row r="531" spans="1:12" ht="32.25" customHeight="1" x14ac:dyDescent="0.2">
      <c r="A531" s="28" t="s">
        <v>2437</v>
      </c>
      <c r="B531" s="28" t="s">
        <v>9</v>
      </c>
      <c r="C531" s="28" t="s">
        <v>1933</v>
      </c>
      <c r="D531" s="28" t="s">
        <v>1934</v>
      </c>
      <c r="E531" s="29"/>
      <c r="F531" s="29" t="s">
        <v>67</v>
      </c>
      <c r="G531" s="29" t="s">
        <v>67</v>
      </c>
      <c r="H531" s="28" t="s">
        <v>1935</v>
      </c>
      <c r="I531" s="28" t="s">
        <v>71</v>
      </c>
      <c r="J531" s="28" t="s">
        <v>72</v>
      </c>
      <c r="K531" s="28"/>
      <c r="L531" s="28"/>
    </row>
    <row r="532" spans="1:12" ht="32.25" customHeight="1" x14ac:dyDescent="0.2">
      <c r="A532" s="28" t="s">
        <v>2437</v>
      </c>
      <c r="B532" s="28" t="s">
        <v>9</v>
      </c>
      <c r="C532" s="28" t="s">
        <v>1938</v>
      </c>
      <c r="D532" s="28" t="s">
        <v>1939</v>
      </c>
      <c r="E532" s="29" t="s">
        <v>67</v>
      </c>
      <c r="F532" s="29" t="s">
        <v>67</v>
      </c>
      <c r="G532" s="29" t="s">
        <v>67</v>
      </c>
      <c r="H532" s="28" t="s">
        <v>1940</v>
      </c>
      <c r="I532" s="28" t="s">
        <v>71</v>
      </c>
      <c r="J532" s="28" t="s">
        <v>72</v>
      </c>
      <c r="K532" s="28"/>
      <c r="L532" s="28"/>
    </row>
    <row r="533" spans="1:12" ht="21.75" customHeight="1" x14ac:dyDescent="0.2">
      <c r="A533" s="28" t="s">
        <v>2437</v>
      </c>
      <c r="B533" s="28" t="s">
        <v>9</v>
      </c>
      <c r="C533" s="28" t="s">
        <v>1943</v>
      </c>
      <c r="D533" s="28" t="s">
        <v>1944</v>
      </c>
      <c r="E533" s="29" t="s">
        <v>67</v>
      </c>
      <c r="F533" s="29"/>
      <c r="G533" s="29"/>
      <c r="H533" s="28" t="s">
        <v>1945</v>
      </c>
      <c r="I533" s="28" t="s">
        <v>71</v>
      </c>
      <c r="J533" s="28" t="s">
        <v>72</v>
      </c>
      <c r="K533" s="28"/>
      <c r="L533" s="28"/>
    </row>
    <row r="534" spans="1:12" ht="32.25" customHeight="1" x14ac:dyDescent="0.2">
      <c r="A534" s="28" t="s">
        <v>2437</v>
      </c>
      <c r="B534" s="28" t="s">
        <v>9</v>
      </c>
      <c r="C534" s="28" t="s">
        <v>1953</v>
      </c>
      <c r="D534" s="28" t="s">
        <v>1954</v>
      </c>
      <c r="E534" s="29"/>
      <c r="F534" s="29" t="s">
        <v>67</v>
      </c>
      <c r="G534" s="29"/>
      <c r="H534" s="28" t="s">
        <v>1955</v>
      </c>
      <c r="I534" s="28" t="s">
        <v>71</v>
      </c>
      <c r="J534" s="28" t="s">
        <v>72</v>
      </c>
      <c r="K534" s="28"/>
      <c r="L534" s="28"/>
    </row>
    <row r="535" spans="1:12" ht="32.25" customHeight="1" x14ac:dyDescent="0.2">
      <c r="A535" s="28" t="s">
        <v>2437</v>
      </c>
      <c r="B535" s="28" t="s">
        <v>9</v>
      </c>
      <c r="C535" s="28" t="s">
        <v>1958</v>
      </c>
      <c r="D535" s="28" t="s">
        <v>1959</v>
      </c>
      <c r="E535" s="29"/>
      <c r="F535" s="29"/>
      <c r="G535" s="29" t="s">
        <v>67</v>
      </c>
      <c r="H535" s="28" t="s">
        <v>1960</v>
      </c>
      <c r="I535" s="28" t="s">
        <v>71</v>
      </c>
      <c r="J535" s="28" t="s">
        <v>72</v>
      </c>
      <c r="K535" s="28"/>
      <c r="L535" s="28"/>
    </row>
    <row r="536" spans="1:12" ht="15" customHeight="1" x14ac:dyDescent="0.2">
      <c r="A536" s="6" t="s">
        <v>2438</v>
      </c>
      <c r="B536" s="6"/>
      <c r="C536" s="6"/>
      <c r="D536" s="6"/>
      <c r="E536" s="6"/>
      <c r="F536" s="6"/>
      <c r="G536" s="6"/>
      <c r="H536" s="6"/>
      <c r="I536" s="6"/>
      <c r="J536" s="6"/>
      <c r="K536" s="6"/>
      <c r="L536" s="6"/>
    </row>
    <row r="537" spans="1:12" ht="32.25" customHeight="1" x14ac:dyDescent="0.2">
      <c r="A537" s="28" t="s">
        <v>2439</v>
      </c>
      <c r="B537" s="28" t="s">
        <v>484</v>
      </c>
      <c r="C537" s="28" t="s">
        <v>251</v>
      </c>
      <c r="D537" s="28" t="s">
        <v>2015</v>
      </c>
      <c r="E537" s="29" t="s">
        <v>67</v>
      </c>
      <c r="F537" s="29"/>
      <c r="G537" s="29"/>
      <c r="H537" s="28" t="s">
        <v>2440</v>
      </c>
      <c r="I537" s="28" t="s">
        <v>71</v>
      </c>
      <c r="J537" s="28" t="s">
        <v>72</v>
      </c>
      <c r="K537" s="28"/>
      <c r="L537" s="28"/>
    </row>
    <row r="538" spans="1:12" ht="32.25" customHeight="1" x14ac:dyDescent="0.2">
      <c r="A538" s="28" t="s">
        <v>2439</v>
      </c>
      <c r="B538" s="28" t="s">
        <v>484</v>
      </c>
      <c r="C538" s="28" t="s">
        <v>271</v>
      </c>
      <c r="D538" s="28" t="s">
        <v>2015</v>
      </c>
      <c r="E538" s="29" t="s">
        <v>67</v>
      </c>
      <c r="F538" s="29"/>
      <c r="G538" s="29"/>
      <c r="H538" s="28" t="s">
        <v>2028</v>
      </c>
      <c r="I538" s="28" t="s">
        <v>71</v>
      </c>
      <c r="J538" s="28" t="s">
        <v>72</v>
      </c>
      <c r="K538" s="28"/>
      <c r="L538" s="28"/>
    </row>
    <row r="539" spans="1:12" ht="21.75" customHeight="1" x14ac:dyDescent="0.2">
      <c r="A539" s="28" t="s">
        <v>2439</v>
      </c>
      <c r="B539" s="28" t="s">
        <v>2052</v>
      </c>
      <c r="C539" s="28" t="s">
        <v>208</v>
      </c>
      <c r="D539" s="28" t="s">
        <v>2441</v>
      </c>
      <c r="E539" s="29" t="s">
        <v>67</v>
      </c>
      <c r="F539" s="29" t="s">
        <v>67</v>
      </c>
      <c r="G539" s="29" t="s">
        <v>67</v>
      </c>
      <c r="H539" s="28" t="s">
        <v>2442</v>
      </c>
      <c r="I539" s="28" t="s">
        <v>71</v>
      </c>
      <c r="J539" s="28" t="s">
        <v>72</v>
      </c>
      <c r="K539" s="28"/>
      <c r="L539" s="28"/>
    </row>
    <row r="540" spans="1:12" ht="21.75" customHeight="1" x14ac:dyDescent="0.2">
      <c r="A540" s="28" t="s">
        <v>2439</v>
      </c>
      <c r="B540" s="28" t="s">
        <v>493</v>
      </c>
      <c r="C540" s="28" t="s">
        <v>187</v>
      </c>
      <c r="D540" s="28" t="s">
        <v>2443</v>
      </c>
      <c r="E540" s="29"/>
      <c r="F540" s="29"/>
      <c r="G540" s="29"/>
      <c r="H540" s="28" t="s">
        <v>2444</v>
      </c>
      <c r="I540" s="28" t="s">
        <v>71</v>
      </c>
      <c r="J540" s="28" t="s">
        <v>72</v>
      </c>
      <c r="K540" s="28"/>
      <c r="L540" s="28"/>
    </row>
    <row r="541" spans="1:12" ht="32.25" customHeight="1" x14ac:dyDescent="0.2">
      <c r="A541" s="28" t="s">
        <v>2439</v>
      </c>
      <c r="B541" s="28" t="s">
        <v>493</v>
      </c>
      <c r="C541" s="28" t="s">
        <v>192</v>
      </c>
      <c r="D541" s="28" t="s">
        <v>2445</v>
      </c>
      <c r="E541" s="29"/>
      <c r="F541" s="29"/>
      <c r="G541" s="29"/>
      <c r="H541" s="28" t="s">
        <v>2446</v>
      </c>
      <c r="I541" s="28" t="s">
        <v>71</v>
      </c>
      <c r="J541" s="28" t="s">
        <v>72</v>
      </c>
      <c r="K541" s="28"/>
      <c r="L541" s="28"/>
    </row>
    <row r="542" spans="1:12" ht="15" customHeight="1" x14ac:dyDescent="0.2">
      <c r="A542" s="6" t="s">
        <v>2447</v>
      </c>
      <c r="B542" s="6"/>
      <c r="C542" s="6"/>
      <c r="D542" s="6"/>
      <c r="E542" s="6"/>
      <c r="F542" s="6"/>
      <c r="G542" s="6"/>
      <c r="H542" s="6"/>
      <c r="I542" s="6"/>
      <c r="J542" s="6"/>
      <c r="K542" s="6"/>
      <c r="L542" s="6"/>
    </row>
    <row r="543" spans="1:12" ht="32.25" customHeight="1" x14ac:dyDescent="0.2">
      <c r="A543" s="28" t="s">
        <v>2448</v>
      </c>
      <c r="B543" s="28" t="s">
        <v>461</v>
      </c>
      <c r="C543" s="28" t="s">
        <v>548</v>
      </c>
      <c r="D543" s="28" t="s">
        <v>549</v>
      </c>
      <c r="E543" s="29"/>
      <c r="F543" s="29"/>
      <c r="G543" s="29"/>
      <c r="H543" s="28" t="s">
        <v>551</v>
      </c>
      <c r="I543" s="28" t="s">
        <v>71</v>
      </c>
      <c r="J543" s="28" t="s">
        <v>72</v>
      </c>
      <c r="K543" s="28"/>
      <c r="L543" s="28"/>
    </row>
    <row r="544" spans="1:12" ht="32.25" customHeight="1" x14ac:dyDescent="0.2">
      <c r="A544" s="28" t="s">
        <v>2448</v>
      </c>
      <c r="B544" s="28" t="s">
        <v>461</v>
      </c>
      <c r="C544" s="28" t="s">
        <v>566</v>
      </c>
      <c r="D544" s="28" t="s">
        <v>565</v>
      </c>
      <c r="E544" s="29" t="s">
        <v>67</v>
      </c>
      <c r="F544" s="29"/>
      <c r="G544" s="29"/>
      <c r="H544" s="28" t="s">
        <v>2449</v>
      </c>
      <c r="I544" s="28" t="s">
        <v>71</v>
      </c>
      <c r="J544" s="28" t="s">
        <v>72</v>
      </c>
      <c r="K544" s="28"/>
      <c r="L544" s="28"/>
    </row>
    <row r="545" spans="1:12" ht="32.25" customHeight="1" x14ac:dyDescent="0.2">
      <c r="A545" s="28" t="s">
        <v>2448</v>
      </c>
      <c r="B545" s="28" t="s">
        <v>464</v>
      </c>
      <c r="C545" s="28" t="s">
        <v>748</v>
      </c>
      <c r="D545" s="28" t="s">
        <v>749</v>
      </c>
      <c r="E545" s="29"/>
      <c r="F545" s="29"/>
      <c r="G545" s="29"/>
      <c r="H545" s="28" t="s">
        <v>2450</v>
      </c>
      <c r="I545" s="28" t="s">
        <v>71</v>
      </c>
      <c r="J545" s="28" t="s">
        <v>72</v>
      </c>
      <c r="K545" s="28"/>
      <c r="L545" s="28"/>
    </row>
    <row r="546" spans="1:12" ht="21.75" customHeight="1" x14ac:dyDescent="0.2">
      <c r="A546" s="28" t="s">
        <v>2448</v>
      </c>
      <c r="B546" s="28" t="s">
        <v>464</v>
      </c>
      <c r="C546" s="28" t="s">
        <v>774</v>
      </c>
      <c r="D546" s="28" t="s">
        <v>775</v>
      </c>
      <c r="E546" s="29"/>
      <c r="F546" s="29"/>
      <c r="G546" s="29"/>
      <c r="H546" s="28" t="s">
        <v>776</v>
      </c>
      <c r="I546" s="28" t="s">
        <v>71</v>
      </c>
      <c r="J546" s="28" t="s">
        <v>72</v>
      </c>
      <c r="K546" s="28"/>
      <c r="L546" s="28"/>
    </row>
    <row r="547" spans="1:12" ht="32.25" customHeight="1" x14ac:dyDescent="0.2">
      <c r="A547" s="28" t="s">
        <v>2448</v>
      </c>
      <c r="B547" s="28" t="s">
        <v>464</v>
      </c>
      <c r="C547" s="28" t="s">
        <v>778</v>
      </c>
      <c r="D547" s="28" t="s">
        <v>779</v>
      </c>
      <c r="E547" s="29"/>
      <c r="F547" s="29"/>
      <c r="G547" s="29"/>
      <c r="H547" s="28" t="s">
        <v>780</v>
      </c>
      <c r="I547" s="28" t="s">
        <v>71</v>
      </c>
      <c r="J547" s="28" t="s">
        <v>72</v>
      </c>
      <c r="K547" s="28"/>
      <c r="L547" s="28"/>
    </row>
    <row r="548" spans="1:12" ht="21.75" customHeight="1" x14ac:dyDescent="0.2">
      <c r="A548" s="28" t="s">
        <v>2448</v>
      </c>
      <c r="B548" s="28" t="s">
        <v>464</v>
      </c>
      <c r="C548" s="28" t="s">
        <v>808</v>
      </c>
      <c r="D548" s="28" t="s">
        <v>809</v>
      </c>
      <c r="E548" s="29"/>
      <c r="F548" s="29"/>
      <c r="G548" s="29"/>
      <c r="H548" s="28" t="s">
        <v>810</v>
      </c>
      <c r="I548" s="28" t="s">
        <v>71</v>
      </c>
      <c r="J548" s="28" t="s">
        <v>72</v>
      </c>
      <c r="K548" s="28"/>
      <c r="L548" s="28"/>
    </row>
    <row r="549" spans="1:12" ht="21.75" customHeight="1" x14ac:dyDescent="0.2">
      <c r="A549" s="28" t="s">
        <v>2448</v>
      </c>
      <c r="B549" s="28" t="s">
        <v>2051</v>
      </c>
      <c r="C549" s="28" t="s">
        <v>192</v>
      </c>
      <c r="D549" s="28" t="s">
        <v>1010</v>
      </c>
      <c r="E549" s="29"/>
      <c r="F549" s="29"/>
      <c r="G549" s="29"/>
      <c r="H549" s="28" t="s">
        <v>1011</v>
      </c>
      <c r="I549" s="28" t="s">
        <v>71</v>
      </c>
      <c r="J549" s="28" t="s">
        <v>72</v>
      </c>
      <c r="K549" s="28"/>
      <c r="L549" s="28"/>
    </row>
    <row r="550" spans="1:12" ht="21.75" customHeight="1" x14ac:dyDescent="0.2">
      <c r="A550" s="28" t="s">
        <v>2448</v>
      </c>
      <c r="B550" s="28" t="s">
        <v>476</v>
      </c>
      <c r="C550" s="28" t="s">
        <v>182</v>
      </c>
      <c r="D550" s="28" t="s">
        <v>1523</v>
      </c>
      <c r="E550" s="29"/>
      <c r="F550" s="29"/>
      <c r="G550" s="29"/>
      <c r="H550" s="28" t="s">
        <v>1524</v>
      </c>
      <c r="I550" s="28" t="s">
        <v>71</v>
      </c>
      <c r="J550" s="28" t="s">
        <v>72</v>
      </c>
      <c r="K550" s="28"/>
      <c r="L550" s="28"/>
    </row>
    <row r="551" spans="1:12" ht="21.75" customHeight="1" x14ac:dyDescent="0.2">
      <c r="A551" s="28" t="s">
        <v>2448</v>
      </c>
      <c r="B551" s="28" t="s">
        <v>476</v>
      </c>
      <c r="C551" s="28" t="s">
        <v>192</v>
      </c>
      <c r="D551" s="28" t="s">
        <v>1532</v>
      </c>
      <c r="E551" s="29"/>
      <c r="F551" s="29"/>
      <c r="G551" s="29"/>
      <c r="H551" s="28" t="s">
        <v>1533</v>
      </c>
      <c r="I551" s="28" t="s">
        <v>71</v>
      </c>
      <c r="J551" s="28" t="s">
        <v>72</v>
      </c>
      <c r="K551" s="28"/>
      <c r="L551" s="28"/>
    </row>
    <row r="552" spans="1:12" ht="21.75" customHeight="1" x14ac:dyDescent="0.2">
      <c r="A552" s="28" t="s">
        <v>2448</v>
      </c>
      <c r="B552" s="28" t="s">
        <v>476</v>
      </c>
      <c r="C552" s="28" t="s">
        <v>1537</v>
      </c>
      <c r="D552" s="28" t="s">
        <v>1538</v>
      </c>
      <c r="E552" s="29"/>
      <c r="F552" s="29"/>
      <c r="G552" s="29"/>
      <c r="H552" s="28" t="s">
        <v>1539</v>
      </c>
      <c r="I552" s="28" t="s">
        <v>71</v>
      </c>
      <c r="J552" s="28" t="s">
        <v>72</v>
      </c>
      <c r="K552" s="28"/>
      <c r="L552" s="28"/>
    </row>
    <row r="553" spans="1:12" ht="21.75" customHeight="1" x14ac:dyDescent="0.2">
      <c r="A553" s="28" t="s">
        <v>2448</v>
      </c>
      <c r="B553" s="28" t="s">
        <v>476</v>
      </c>
      <c r="C553" s="28" t="s">
        <v>1542</v>
      </c>
      <c r="D553" s="28" t="s">
        <v>1543</v>
      </c>
      <c r="E553" s="29" t="s">
        <v>67</v>
      </c>
      <c r="F553" s="29"/>
      <c r="G553" s="29"/>
      <c r="H553" s="28" t="s">
        <v>1544</v>
      </c>
      <c r="I553" s="28" t="s">
        <v>71</v>
      </c>
      <c r="J553" s="28" t="s">
        <v>72</v>
      </c>
      <c r="K553" s="28"/>
      <c r="L553" s="28"/>
    </row>
    <row r="554" spans="1:12" ht="21.75" customHeight="1" x14ac:dyDescent="0.2">
      <c r="A554" s="28" t="s">
        <v>2448</v>
      </c>
      <c r="B554" s="28" t="s">
        <v>476</v>
      </c>
      <c r="C554" s="28" t="s">
        <v>246</v>
      </c>
      <c r="D554" s="28" t="s">
        <v>1596</v>
      </c>
      <c r="E554" s="29"/>
      <c r="F554" s="29"/>
      <c r="G554" s="29"/>
      <c r="H554" s="28" t="s">
        <v>1597</v>
      </c>
      <c r="I554" s="28" t="s">
        <v>71</v>
      </c>
      <c r="J554" s="28" t="s">
        <v>72</v>
      </c>
      <c r="K554" s="28"/>
      <c r="L554" s="28"/>
    </row>
    <row r="555" spans="1:12" ht="21.75" customHeight="1" x14ac:dyDescent="0.2">
      <c r="A555" s="28" t="s">
        <v>2448</v>
      </c>
      <c r="B555" s="28" t="s">
        <v>476</v>
      </c>
      <c r="C555" s="28" t="s">
        <v>301</v>
      </c>
      <c r="D555" s="28" t="s">
        <v>1697</v>
      </c>
      <c r="E555" s="29"/>
      <c r="F555" s="29"/>
      <c r="G555" s="29"/>
      <c r="H555" s="28" t="s">
        <v>1698</v>
      </c>
      <c r="I555" s="28" t="s">
        <v>71</v>
      </c>
      <c r="J555" s="28" t="s">
        <v>72</v>
      </c>
      <c r="K555" s="28"/>
      <c r="L555" s="28"/>
    </row>
    <row r="556" spans="1:12" ht="21.75" customHeight="1" x14ac:dyDescent="0.2">
      <c r="A556" s="28" t="s">
        <v>2448</v>
      </c>
      <c r="B556" s="28" t="s">
        <v>476</v>
      </c>
      <c r="C556" s="28" t="s">
        <v>1700</v>
      </c>
      <c r="D556" s="28" t="s">
        <v>1701</v>
      </c>
      <c r="E556" s="29"/>
      <c r="F556" s="29"/>
      <c r="G556" s="29"/>
      <c r="H556" s="28" t="s">
        <v>1702</v>
      </c>
      <c r="I556" s="28" t="s">
        <v>71</v>
      </c>
      <c r="J556" s="28" t="s">
        <v>72</v>
      </c>
      <c r="K556" s="28"/>
      <c r="L556" s="28"/>
    </row>
    <row r="557" spans="1:12" ht="21.75" customHeight="1" x14ac:dyDescent="0.2">
      <c r="A557" s="28" t="s">
        <v>2448</v>
      </c>
      <c r="B557" s="28" t="s">
        <v>476</v>
      </c>
      <c r="C557" s="28" t="s">
        <v>1704</v>
      </c>
      <c r="D557" s="28" t="s">
        <v>1705</v>
      </c>
      <c r="E557" s="29"/>
      <c r="F557" s="29"/>
      <c r="G557" s="29"/>
      <c r="H557" s="28" t="s">
        <v>1706</v>
      </c>
      <c r="I557" s="28" t="s">
        <v>71</v>
      </c>
      <c r="J557" s="28" t="s">
        <v>72</v>
      </c>
      <c r="K557" s="28"/>
      <c r="L557" s="28"/>
    </row>
    <row r="558" spans="1:12" ht="21.75" customHeight="1" x14ac:dyDescent="0.2">
      <c r="A558" s="28" t="s">
        <v>2448</v>
      </c>
      <c r="B558" s="28" t="s">
        <v>476</v>
      </c>
      <c r="C558" s="28" t="s">
        <v>1743</v>
      </c>
      <c r="D558" s="28" t="s">
        <v>1744</v>
      </c>
      <c r="E558" s="29"/>
      <c r="F558" s="29"/>
      <c r="G558" s="29"/>
      <c r="H558" s="28" t="s">
        <v>1745</v>
      </c>
      <c r="I558" s="28" t="s">
        <v>71</v>
      </c>
      <c r="J558" s="28" t="s">
        <v>72</v>
      </c>
      <c r="K558" s="28"/>
      <c r="L558" s="28"/>
    </row>
    <row r="559" spans="1:12" ht="21.75" customHeight="1" x14ac:dyDescent="0.2">
      <c r="A559" s="28" t="s">
        <v>2448</v>
      </c>
      <c r="B559" s="28" t="s">
        <v>2052</v>
      </c>
      <c r="C559" s="28" t="s">
        <v>774</v>
      </c>
      <c r="D559" s="28" t="s">
        <v>2451</v>
      </c>
      <c r="E559" s="29" t="s">
        <v>67</v>
      </c>
      <c r="F559" s="29"/>
      <c r="G559" s="29"/>
      <c r="H559" s="28" t="s">
        <v>2452</v>
      </c>
      <c r="I559" s="28" t="s">
        <v>71</v>
      </c>
      <c r="J559" s="28" t="s">
        <v>72</v>
      </c>
      <c r="K559" s="28"/>
      <c r="L559" s="28"/>
    </row>
    <row r="560" spans="1:12" ht="21.75" customHeight="1" x14ac:dyDescent="0.2">
      <c r="A560" s="28" t="s">
        <v>2448</v>
      </c>
      <c r="B560" s="28" t="s">
        <v>2052</v>
      </c>
      <c r="C560" s="28" t="s">
        <v>778</v>
      </c>
      <c r="D560" s="28" t="s">
        <v>2453</v>
      </c>
      <c r="E560" s="29" t="s">
        <v>67</v>
      </c>
      <c r="F560" s="29"/>
      <c r="G560" s="29"/>
      <c r="H560" s="28" t="s">
        <v>2454</v>
      </c>
      <c r="I560" s="28" t="s">
        <v>71</v>
      </c>
      <c r="J560" s="28" t="s">
        <v>72</v>
      </c>
      <c r="K560" s="28"/>
      <c r="L560" s="28"/>
    </row>
    <row r="561" spans="1:12" ht="21.75" customHeight="1" x14ac:dyDescent="0.2">
      <c r="A561" s="28" t="s">
        <v>2448</v>
      </c>
      <c r="B561" s="28" t="s">
        <v>2052</v>
      </c>
      <c r="C561" s="28" t="s">
        <v>796</v>
      </c>
      <c r="D561" s="28" t="s">
        <v>2455</v>
      </c>
      <c r="E561" s="29"/>
      <c r="F561" s="29"/>
      <c r="G561" s="29"/>
      <c r="H561" s="28" t="s">
        <v>2456</v>
      </c>
      <c r="I561" s="28" t="s">
        <v>71</v>
      </c>
      <c r="J561" s="28" t="s">
        <v>72</v>
      </c>
      <c r="K561" s="28"/>
      <c r="L561" s="28"/>
    </row>
    <row r="562" spans="1:12" ht="32.25" customHeight="1" x14ac:dyDescent="0.2">
      <c r="A562" s="28" t="s">
        <v>2448</v>
      </c>
      <c r="B562" s="28" t="s">
        <v>2052</v>
      </c>
      <c r="C562" s="28" t="s">
        <v>176</v>
      </c>
      <c r="D562" s="28" t="s">
        <v>2457</v>
      </c>
      <c r="E562" s="29"/>
      <c r="F562" s="29"/>
      <c r="G562" s="29"/>
      <c r="H562" s="28" t="s">
        <v>2458</v>
      </c>
      <c r="I562" s="28" t="s">
        <v>71</v>
      </c>
      <c r="J562" s="28" t="s">
        <v>72</v>
      </c>
      <c r="K562" s="28"/>
      <c r="L562" s="28"/>
    </row>
    <row r="563" spans="1:12" ht="21.75" customHeight="1" x14ac:dyDescent="0.2">
      <c r="A563" s="28" t="s">
        <v>2448</v>
      </c>
      <c r="B563" s="28" t="s">
        <v>493</v>
      </c>
      <c r="C563" s="28" t="s">
        <v>1542</v>
      </c>
      <c r="D563" s="28" t="s">
        <v>2459</v>
      </c>
      <c r="E563" s="29"/>
      <c r="F563" s="29"/>
      <c r="G563" s="29"/>
      <c r="H563" s="28" t="s">
        <v>2460</v>
      </c>
      <c r="I563" s="28" t="s">
        <v>71</v>
      </c>
      <c r="J563" s="28" t="s">
        <v>72</v>
      </c>
      <c r="K563" s="28"/>
      <c r="L563" s="28"/>
    </row>
    <row r="564" spans="1:12" ht="21.75" customHeight="1" x14ac:dyDescent="0.2">
      <c r="A564" s="28" t="s">
        <v>2448</v>
      </c>
      <c r="B564" s="28" t="s">
        <v>493</v>
      </c>
      <c r="C564" s="28" t="s">
        <v>1549</v>
      </c>
      <c r="D564" s="28" t="s">
        <v>2461</v>
      </c>
      <c r="E564" s="29"/>
      <c r="F564" s="29"/>
      <c r="G564" s="29"/>
      <c r="H564" s="28" t="s">
        <v>2462</v>
      </c>
      <c r="I564" s="28" t="s">
        <v>71</v>
      </c>
      <c r="J564" s="28" t="s">
        <v>72</v>
      </c>
      <c r="K564" s="28"/>
      <c r="L564" s="28"/>
    </row>
    <row r="565" spans="1:12" ht="21.75" customHeight="1" x14ac:dyDescent="0.2">
      <c r="A565" s="28" t="s">
        <v>2448</v>
      </c>
      <c r="B565" s="28" t="s">
        <v>493</v>
      </c>
      <c r="C565" s="28" t="s">
        <v>1555</v>
      </c>
      <c r="D565" s="28" t="s">
        <v>2463</v>
      </c>
      <c r="E565" s="29"/>
      <c r="F565" s="29"/>
      <c r="G565" s="29"/>
      <c r="H565" s="28" t="s">
        <v>2464</v>
      </c>
      <c r="I565" s="28" t="s">
        <v>71</v>
      </c>
      <c r="J565" s="28" t="s">
        <v>72</v>
      </c>
      <c r="K565" s="28"/>
      <c r="L565" s="28"/>
    </row>
    <row r="566" spans="1:12" ht="21.75" customHeight="1" x14ac:dyDescent="0.2">
      <c r="A566" s="28" t="s">
        <v>2448</v>
      </c>
      <c r="B566" s="28" t="s">
        <v>493</v>
      </c>
      <c r="C566" s="28" t="s">
        <v>203</v>
      </c>
      <c r="D566" s="28" t="s">
        <v>2465</v>
      </c>
      <c r="E566" s="29"/>
      <c r="F566" s="29"/>
      <c r="G566" s="29"/>
      <c r="H566" s="28" t="s">
        <v>2466</v>
      </c>
      <c r="I566" s="28" t="s">
        <v>71</v>
      </c>
      <c r="J566" s="28" t="s">
        <v>72</v>
      </c>
      <c r="K566" s="28"/>
      <c r="L566" s="28"/>
    </row>
    <row r="567" spans="1:12" ht="21.75" customHeight="1" x14ac:dyDescent="0.2">
      <c r="A567" s="28" t="s">
        <v>2448</v>
      </c>
      <c r="B567" s="28" t="s">
        <v>493</v>
      </c>
      <c r="C567" s="28" t="s">
        <v>246</v>
      </c>
      <c r="D567" s="28" t="s">
        <v>2467</v>
      </c>
      <c r="E567" s="29" t="s">
        <v>67</v>
      </c>
      <c r="F567" s="29"/>
      <c r="G567" s="29"/>
      <c r="H567" s="28" t="s">
        <v>2468</v>
      </c>
      <c r="I567" s="28" t="s">
        <v>71</v>
      </c>
      <c r="J567" s="28" t="s">
        <v>72</v>
      </c>
      <c r="K567" s="28"/>
      <c r="L567" s="28"/>
    </row>
    <row r="568" spans="1:12" ht="21.75" customHeight="1" x14ac:dyDescent="0.2">
      <c r="A568" s="28" t="s">
        <v>2448</v>
      </c>
      <c r="B568" s="28" t="s">
        <v>493</v>
      </c>
      <c r="C568" s="28" t="s">
        <v>251</v>
      </c>
      <c r="D568" s="28" t="s">
        <v>2469</v>
      </c>
      <c r="E568" s="29" t="s">
        <v>67</v>
      </c>
      <c r="F568" s="29"/>
      <c r="G568" s="29"/>
      <c r="H568" s="28" t="s">
        <v>2470</v>
      </c>
      <c r="I568" s="28" t="s">
        <v>71</v>
      </c>
      <c r="J568" s="28" t="s">
        <v>72</v>
      </c>
      <c r="K568" s="28"/>
      <c r="L568" s="28"/>
    </row>
    <row r="569" spans="1:12" ht="21.75" customHeight="1" x14ac:dyDescent="0.2">
      <c r="A569" s="28" t="s">
        <v>2448</v>
      </c>
      <c r="B569" s="28" t="s">
        <v>493</v>
      </c>
      <c r="C569" s="28" t="s">
        <v>1294</v>
      </c>
      <c r="D569" s="28" t="s">
        <v>2471</v>
      </c>
      <c r="E569" s="29" t="s">
        <v>67</v>
      </c>
      <c r="F569" s="29" t="s">
        <v>67</v>
      </c>
      <c r="G569" s="29"/>
      <c r="H569" s="28" t="s">
        <v>2472</v>
      </c>
      <c r="I569" s="28" t="s">
        <v>71</v>
      </c>
      <c r="J569" s="28" t="s">
        <v>72</v>
      </c>
      <c r="K569" s="28"/>
      <c r="L569" s="28"/>
    </row>
    <row r="570" spans="1:12" ht="21.75" customHeight="1" x14ac:dyDescent="0.2">
      <c r="A570" s="28" t="s">
        <v>2448</v>
      </c>
      <c r="B570" s="28" t="s">
        <v>493</v>
      </c>
      <c r="C570" s="28" t="s">
        <v>1299</v>
      </c>
      <c r="D570" s="28" t="s">
        <v>2473</v>
      </c>
      <c r="E570" s="29"/>
      <c r="F570" s="29" t="s">
        <v>67</v>
      </c>
      <c r="G570" s="29"/>
      <c r="H570" s="28" t="s">
        <v>2474</v>
      </c>
      <c r="I570" s="28" t="s">
        <v>71</v>
      </c>
      <c r="J570" s="28" t="s">
        <v>72</v>
      </c>
      <c r="K570" s="28"/>
      <c r="L570" s="28"/>
    </row>
    <row r="571" spans="1:12" ht="32.25" customHeight="1" x14ac:dyDescent="0.2">
      <c r="A571" s="28" t="s">
        <v>2448</v>
      </c>
      <c r="B571" s="28" t="s">
        <v>493</v>
      </c>
      <c r="C571" s="28" t="s">
        <v>84</v>
      </c>
      <c r="D571" s="28" t="s">
        <v>2475</v>
      </c>
      <c r="E571" s="29" t="s">
        <v>67</v>
      </c>
      <c r="F571" s="29"/>
      <c r="G571" s="29"/>
      <c r="H571" s="28" t="s">
        <v>2476</v>
      </c>
      <c r="I571" s="28" t="s">
        <v>71</v>
      </c>
      <c r="J571" s="28" t="s">
        <v>72</v>
      </c>
      <c r="K571" s="28"/>
      <c r="L571" s="28"/>
    </row>
    <row r="572" spans="1:12" ht="32.25" customHeight="1" x14ac:dyDescent="0.2">
      <c r="A572" s="28" t="s">
        <v>2448</v>
      </c>
      <c r="B572" s="28" t="s">
        <v>493</v>
      </c>
      <c r="C572" s="28" t="s">
        <v>2477</v>
      </c>
      <c r="D572" s="28" t="s">
        <v>2478</v>
      </c>
      <c r="E572" s="29"/>
      <c r="F572" s="29"/>
      <c r="G572" s="29"/>
      <c r="H572" s="28" t="s">
        <v>2479</v>
      </c>
      <c r="I572" s="28" t="s">
        <v>71</v>
      </c>
      <c r="J572" s="28" t="s">
        <v>72</v>
      </c>
      <c r="K572" s="28"/>
      <c r="L572" s="28"/>
    </row>
    <row r="573" spans="1:12" ht="32.25" customHeight="1" x14ac:dyDescent="0.2">
      <c r="A573" s="28" t="s">
        <v>2448</v>
      </c>
      <c r="B573" s="28" t="s">
        <v>496</v>
      </c>
      <c r="C573" s="28" t="s">
        <v>548</v>
      </c>
      <c r="D573" s="28" t="s">
        <v>549</v>
      </c>
      <c r="E573" s="29"/>
      <c r="F573" s="29"/>
      <c r="G573" s="29"/>
      <c r="H573" s="28" t="s">
        <v>2480</v>
      </c>
      <c r="I573" s="28" t="s">
        <v>71</v>
      </c>
      <c r="J573" s="28" t="s">
        <v>72</v>
      </c>
      <c r="K573" s="28"/>
      <c r="L573" s="28"/>
    </row>
    <row r="574" spans="1:12" ht="32.25" customHeight="1" x14ac:dyDescent="0.2">
      <c r="A574" s="28" t="s">
        <v>2448</v>
      </c>
      <c r="B574" s="28" t="s">
        <v>496</v>
      </c>
      <c r="C574" s="28" t="s">
        <v>559</v>
      </c>
      <c r="D574" s="28" t="s">
        <v>2481</v>
      </c>
      <c r="E574" s="29"/>
      <c r="F574" s="29"/>
      <c r="G574" s="29"/>
      <c r="H574" s="28" t="s">
        <v>2482</v>
      </c>
      <c r="I574" s="28" t="s">
        <v>71</v>
      </c>
      <c r="J574" s="28" t="s">
        <v>72</v>
      </c>
      <c r="K574" s="28"/>
      <c r="L574" s="28"/>
    </row>
    <row r="575" spans="1:12" ht="32.25" customHeight="1" x14ac:dyDescent="0.2">
      <c r="A575" s="28" t="s">
        <v>2448</v>
      </c>
      <c r="B575" s="28" t="s">
        <v>496</v>
      </c>
      <c r="C575" s="28" t="s">
        <v>585</v>
      </c>
      <c r="D575" s="28" t="s">
        <v>2483</v>
      </c>
      <c r="E575" s="29" t="s">
        <v>67</v>
      </c>
      <c r="F575" s="29" t="s">
        <v>67</v>
      </c>
      <c r="G575" s="29" t="s">
        <v>67</v>
      </c>
      <c r="H575" s="28" t="s">
        <v>2484</v>
      </c>
      <c r="I575" s="28" t="s">
        <v>71</v>
      </c>
      <c r="J575" s="28" t="s">
        <v>72</v>
      </c>
      <c r="K575" s="28"/>
      <c r="L575" s="28"/>
    </row>
    <row r="576" spans="1:12" ht="21.75" customHeight="1" x14ac:dyDescent="0.2">
      <c r="A576" s="28" t="s">
        <v>2448</v>
      </c>
      <c r="B576" s="28" t="s">
        <v>496</v>
      </c>
      <c r="C576" s="28" t="s">
        <v>673</v>
      </c>
      <c r="D576" s="28" t="s">
        <v>2485</v>
      </c>
      <c r="E576" s="29" t="s">
        <v>67</v>
      </c>
      <c r="F576" s="29" t="s">
        <v>67</v>
      </c>
      <c r="G576" s="29" t="s">
        <v>67</v>
      </c>
      <c r="H576" s="28" t="s">
        <v>2486</v>
      </c>
      <c r="I576" s="28" t="s">
        <v>71</v>
      </c>
      <c r="J576" s="28" t="s">
        <v>72</v>
      </c>
      <c r="K576" s="28"/>
      <c r="L576" s="28"/>
    </row>
    <row r="577" spans="1:12" ht="21.75" customHeight="1" x14ac:dyDescent="0.2">
      <c r="A577" s="28" t="s">
        <v>2448</v>
      </c>
      <c r="B577" s="28" t="s">
        <v>496</v>
      </c>
      <c r="C577" s="28" t="s">
        <v>2487</v>
      </c>
      <c r="D577" s="28" t="s">
        <v>2488</v>
      </c>
      <c r="E577" s="29"/>
      <c r="F577" s="29"/>
      <c r="G577" s="29"/>
      <c r="H577" s="28" t="s">
        <v>2489</v>
      </c>
      <c r="I577" s="28" t="s">
        <v>71</v>
      </c>
      <c r="J577" s="28" t="s">
        <v>72</v>
      </c>
      <c r="K577" s="28"/>
      <c r="L577" s="28"/>
    </row>
    <row r="578" spans="1:12" ht="32.25" customHeight="1" x14ac:dyDescent="0.2">
      <c r="A578" s="28" t="s">
        <v>2448</v>
      </c>
      <c r="B578" s="28" t="s">
        <v>499</v>
      </c>
      <c r="C578" s="28" t="s">
        <v>2490</v>
      </c>
      <c r="D578" s="28" t="s">
        <v>2491</v>
      </c>
      <c r="E578" s="29"/>
      <c r="F578" s="29"/>
      <c r="G578" s="29"/>
      <c r="H578" s="28" t="s">
        <v>2492</v>
      </c>
      <c r="I578" s="28" t="s">
        <v>71</v>
      </c>
      <c r="J578" s="28" t="s">
        <v>72</v>
      </c>
      <c r="K578" s="28"/>
      <c r="L578" s="28"/>
    </row>
    <row r="579" spans="1:12" ht="32.25" customHeight="1" x14ac:dyDescent="0.2">
      <c r="A579" s="28" t="s">
        <v>2448</v>
      </c>
      <c r="B579" s="28" t="s">
        <v>499</v>
      </c>
      <c r="C579" s="28" t="s">
        <v>2493</v>
      </c>
      <c r="D579" s="28" t="s">
        <v>2494</v>
      </c>
      <c r="E579" s="29"/>
      <c r="F579" s="29"/>
      <c r="G579" s="29"/>
      <c r="H579" s="28" t="s">
        <v>2495</v>
      </c>
      <c r="I579" s="28" t="s">
        <v>71</v>
      </c>
      <c r="J579" s="28" t="s">
        <v>72</v>
      </c>
      <c r="K579" s="28"/>
      <c r="L579" s="28"/>
    </row>
    <row r="580" spans="1:12" ht="32.25" customHeight="1" x14ac:dyDescent="0.2">
      <c r="A580" s="28" t="s">
        <v>2448</v>
      </c>
      <c r="B580" s="28" t="s">
        <v>499</v>
      </c>
      <c r="C580" s="28" t="s">
        <v>2496</v>
      </c>
      <c r="D580" s="28" t="s">
        <v>2497</v>
      </c>
      <c r="E580" s="29" t="s">
        <v>67</v>
      </c>
      <c r="F580" s="29" t="s">
        <v>67</v>
      </c>
      <c r="G580" s="29" t="s">
        <v>67</v>
      </c>
      <c r="H580" s="28" t="s">
        <v>2498</v>
      </c>
      <c r="I580" s="28" t="s">
        <v>71</v>
      </c>
      <c r="J580" s="28" t="s">
        <v>72</v>
      </c>
      <c r="K580" s="28"/>
      <c r="L580" s="28"/>
    </row>
    <row r="581" spans="1:12" ht="32.25" customHeight="1" x14ac:dyDescent="0.2">
      <c r="A581" s="28" t="s">
        <v>2448</v>
      </c>
      <c r="B581" s="28" t="s">
        <v>499</v>
      </c>
      <c r="C581" s="28" t="s">
        <v>2499</v>
      </c>
      <c r="D581" s="28" t="s">
        <v>2500</v>
      </c>
      <c r="E581" s="29" t="s">
        <v>67</v>
      </c>
      <c r="F581" s="29"/>
      <c r="G581" s="29"/>
      <c r="H581" s="28" t="s">
        <v>2501</v>
      </c>
      <c r="I581" s="28" t="s">
        <v>71</v>
      </c>
      <c r="J581" s="28" t="s">
        <v>72</v>
      </c>
      <c r="K581" s="28"/>
      <c r="L581" s="28"/>
    </row>
    <row r="582" spans="1:12" ht="21.75" customHeight="1" x14ac:dyDescent="0.2">
      <c r="A582" s="28" t="s">
        <v>2448</v>
      </c>
      <c r="B582" s="28" t="s">
        <v>502</v>
      </c>
      <c r="C582" s="28" t="s">
        <v>2502</v>
      </c>
      <c r="D582" s="28" t="s">
        <v>2503</v>
      </c>
      <c r="E582" s="29" t="s">
        <v>67</v>
      </c>
      <c r="F582" s="29" t="s">
        <v>67</v>
      </c>
      <c r="G582" s="29" t="s">
        <v>67</v>
      </c>
      <c r="H582" s="28" t="s">
        <v>2504</v>
      </c>
      <c r="I582" s="28" t="s">
        <v>71</v>
      </c>
      <c r="J582" s="28" t="s">
        <v>72</v>
      </c>
      <c r="K582" s="28"/>
      <c r="L582" s="28"/>
    </row>
    <row r="583" spans="1:12" ht="32.25" customHeight="1" x14ac:dyDescent="0.2">
      <c r="A583" s="28" t="s">
        <v>2448</v>
      </c>
      <c r="B583" s="28" t="s">
        <v>502</v>
      </c>
      <c r="C583" s="28" t="s">
        <v>2505</v>
      </c>
      <c r="D583" s="28" t="s">
        <v>2506</v>
      </c>
      <c r="E583" s="29"/>
      <c r="F583" s="29"/>
      <c r="G583" s="29"/>
      <c r="H583" s="28" t="s">
        <v>2507</v>
      </c>
      <c r="I583" s="28" t="s">
        <v>71</v>
      </c>
      <c r="J583" s="28" t="s">
        <v>72</v>
      </c>
      <c r="K583" s="28"/>
      <c r="L583" s="28"/>
    </row>
    <row r="584" spans="1:12" ht="21.75" customHeight="1" x14ac:dyDescent="0.2">
      <c r="A584" s="28" t="s">
        <v>2448</v>
      </c>
      <c r="B584" s="28" t="s">
        <v>502</v>
      </c>
      <c r="C584" s="28" t="s">
        <v>2508</v>
      </c>
      <c r="D584" s="28" t="s">
        <v>2509</v>
      </c>
      <c r="E584" s="29"/>
      <c r="F584" s="29"/>
      <c r="G584" s="29"/>
      <c r="H584" s="28" t="s">
        <v>2510</v>
      </c>
      <c r="I584" s="28" t="s">
        <v>71</v>
      </c>
      <c r="J584" s="28" t="s">
        <v>72</v>
      </c>
      <c r="K584" s="28"/>
      <c r="L584" s="28"/>
    </row>
    <row r="585" spans="1:12" ht="21.75" customHeight="1" x14ac:dyDescent="0.2">
      <c r="A585" s="28" t="s">
        <v>2448</v>
      </c>
      <c r="B585" s="28" t="s">
        <v>502</v>
      </c>
      <c r="C585" s="28" t="s">
        <v>2511</v>
      </c>
      <c r="D585" s="28" t="s">
        <v>2512</v>
      </c>
      <c r="E585" s="29"/>
      <c r="F585" s="29"/>
      <c r="G585" s="29"/>
      <c r="H585" s="28" t="s">
        <v>2513</v>
      </c>
      <c r="I585" s="28" t="s">
        <v>71</v>
      </c>
      <c r="J585" s="28" t="s">
        <v>72</v>
      </c>
      <c r="K585" s="28"/>
      <c r="L585" s="28"/>
    </row>
    <row r="586" spans="1:12" ht="32.25" customHeight="1" x14ac:dyDescent="0.2">
      <c r="A586" s="28" t="s">
        <v>2448</v>
      </c>
      <c r="B586" s="28" t="s">
        <v>502</v>
      </c>
      <c r="C586" s="28" t="s">
        <v>2514</v>
      </c>
      <c r="D586" s="28" t="s">
        <v>2515</v>
      </c>
      <c r="E586" s="29"/>
      <c r="F586" s="29"/>
      <c r="G586" s="29"/>
      <c r="H586" s="28" t="s">
        <v>2516</v>
      </c>
      <c r="I586" s="28" t="s">
        <v>71</v>
      </c>
      <c r="J586" s="28" t="s">
        <v>72</v>
      </c>
      <c r="K586" s="28"/>
      <c r="L586" s="28"/>
    </row>
    <row r="587" spans="1:12" ht="21.75" customHeight="1" x14ac:dyDescent="0.2">
      <c r="A587" s="28" t="s">
        <v>2448</v>
      </c>
      <c r="B587" s="28" t="s">
        <v>505</v>
      </c>
      <c r="C587" s="28" t="s">
        <v>2221</v>
      </c>
      <c r="D587" s="28" t="s">
        <v>2517</v>
      </c>
      <c r="E587" s="29"/>
      <c r="F587" s="29"/>
      <c r="G587" s="29" t="s">
        <v>67</v>
      </c>
      <c r="H587" s="28" t="s">
        <v>2518</v>
      </c>
      <c r="I587" s="28" t="s">
        <v>71</v>
      </c>
      <c r="J587" s="28" t="s">
        <v>72</v>
      </c>
      <c r="K587" s="28"/>
      <c r="L587" s="28"/>
    </row>
    <row r="588" spans="1:12" ht="32.25" customHeight="1" x14ac:dyDescent="0.2">
      <c r="A588" s="28" t="s">
        <v>2448</v>
      </c>
      <c r="B588" s="28" t="s">
        <v>508</v>
      </c>
      <c r="C588" s="28" t="s">
        <v>2106</v>
      </c>
      <c r="D588" s="28" t="s">
        <v>2519</v>
      </c>
      <c r="E588" s="29"/>
      <c r="F588" s="29"/>
      <c r="G588" s="29"/>
      <c r="H588" s="28" t="s">
        <v>2520</v>
      </c>
      <c r="I588" s="28" t="s">
        <v>71</v>
      </c>
      <c r="J588" s="28" t="s">
        <v>72</v>
      </c>
      <c r="K588" s="28"/>
      <c r="L588" s="28"/>
    </row>
    <row r="589" spans="1:12" ht="32.25" customHeight="1" x14ac:dyDescent="0.2">
      <c r="A589" s="28" t="s">
        <v>2448</v>
      </c>
      <c r="B589" s="28" t="s">
        <v>508</v>
      </c>
      <c r="C589" s="28" t="s">
        <v>549</v>
      </c>
      <c r="D589" s="28" t="s">
        <v>2521</v>
      </c>
      <c r="E589" s="29"/>
      <c r="F589" s="29"/>
      <c r="G589" s="29"/>
      <c r="H589" s="28" t="s">
        <v>2522</v>
      </c>
      <c r="I589" s="28" t="s">
        <v>71</v>
      </c>
      <c r="J589" s="28" t="s">
        <v>72</v>
      </c>
      <c r="K589" s="28"/>
      <c r="L589" s="28"/>
    </row>
    <row r="590" spans="1:12" ht="32.25" customHeight="1" x14ac:dyDescent="0.2">
      <c r="A590" s="28" t="s">
        <v>2448</v>
      </c>
      <c r="B590" s="28" t="s">
        <v>508</v>
      </c>
      <c r="C590" s="28" t="s">
        <v>241</v>
      </c>
      <c r="D590" s="28" t="s">
        <v>2523</v>
      </c>
      <c r="E590" s="29"/>
      <c r="F590" s="29"/>
      <c r="G590" s="29"/>
      <c r="H590" s="28" t="s">
        <v>2524</v>
      </c>
      <c r="I590" s="28" t="s">
        <v>71</v>
      </c>
      <c r="J590" s="28" t="s">
        <v>72</v>
      </c>
      <c r="K590" s="28"/>
      <c r="L590" s="28"/>
    </row>
    <row r="591" spans="1:12" ht="32.25" customHeight="1" x14ac:dyDescent="0.2">
      <c r="A591" s="28" t="s">
        <v>2448</v>
      </c>
      <c r="B591" s="28" t="s">
        <v>508</v>
      </c>
      <c r="C591" s="28" t="s">
        <v>986</v>
      </c>
      <c r="D591" s="28" t="s">
        <v>2525</v>
      </c>
      <c r="E591" s="29" t="s">
        <v>67</v>
      </c>
      <c r="F591" s="29" t="s">
        <v>67</v>
      </c>
      <c r="G591" s="29" t="s">
        <v>67</v>
      </c>
      <c r="H591" s="28" t="s">
        <v>2526</v>
      </c>
      <c r="I591" s="28" t="s">
        <v>71</v>
      </c>
      <c r="J591" s="28" t="s">
        <v>72</v>
      </c>
      <c r="K591" s="28"/>
      <c r="L591" s="28"/>
    </row>
    <row r="592" spans="1:12" ht="21.75" customHeight="1" x14ac:dyDescent="0.2">
      <c r="A592" s="28" t="s">
        <v>2448</v>
      </c>
      <c r="B592" s="28" t="s">
        <v>11</v>
      </c>
      <c r="C592" s="28" t="s">
        <v>2527</v>
      </c>
      <c r="D592" s="28" t="s">
        <v>2528</v>
      </c>
      <c r="E592" s="29"/>
      <c r="F592" s="29" t="s">
        <v>67</v>
      </c>
      <c r="G592" s="29"/>
      <c r="H592" s="28" t="s">
        <v>2529</v>
      </c>
      <c r="I592" s="28" t="s">
        <v>71</v>
      </c>
      <c r="J592" s="28" t="s">
        <v>72</v>
      </c>
      <c r="K592" s="28"/>
      <c r="L592" s="28"/>
    </row>
  </sheetData>
  <autoFilter ref="A3:L592" xr:uid="{00000000-0009-0000-0000-00000E000000}"/>
  <conditionalFormatting sqref="J4:J592">
    <cfRule type="cellIs" dxfId="26" priority="2" operator="equal">
      <formula>"Implemented"</formula>
    </cfRule>
    <cfRule type="cellIs" dxfId="25" priority="3" operator="equal">
      <formula>"Verified"</formula>
    </cfRule>
    <cfRule type="cellIs" dxfId="24" priority="4" operator="equal">
      <formula>"In progress"</formula>
    </cfRule>
  </conditionalFormatting>
  <dataValidations count="2">
    <dataValidation type="list" allowBlank="1" sqref="I4:I592" xr:uid="{00000000-0002-0000-0E00-000000000000}">
      <formula1>"Yes,No"</formula1>
      <formula2>0</formula2>
    </dataValidation>
    <dataValidation type="list" allowBlank="1" sqref="J4:J592" xr:uid="{00000000-0002-0000-0E00-000001000000}">
      <formula1>"Not started,In progress,Implemented,Verified,Not applicable"</formula1>
      <formula2>0</formula2>
    </dataValidation>
  </dataValidations>
  <pageMargins left="0.75" right="0.75" top="1" bottom="1" header="0.511811023622047" footer="0.511811023622047"/>
  <pageSetup fitToHeight="0"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F35"/>
  <sheetViews>
    <sheetView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8.6640625" defaultRowHeight="15" x14ac:dyDescent="0.2"/>
  <cols>
    <col min="1" max="1" width="36" customWidth="1"/>
    <col min="2" max="2" width="50" customWidth="1"/>
    <col min="3" max="3" width="62" customWidth="1"/>
    <col min="4" max="4" width="36" customWidth="1"/>
    <col min="5" max="5" width="10" customWidth="1"/>
    <col min="6" max="6" width="90" customWidth="1"/>
  </cols>
  <sheetData>
    <row r="1" spans="1:6" ht="17.25" customHeight="1" x14ac:dyDescent="0.2">
      <c r="A1" s="3" t="s">
        <v>2530</v>
      </c>
    </row>
    <row r="3" spans="1:6" ht="23.25" customHeight="1" x14ac:dyDescent="0.2">
      <c r="A3" s="30" t="s">
        <v>2045</v>
      </c>
      <c r="B3" s="30" t="s">
        <v>2531</v>
      </c>
      <c r="C3" s="30" t="s">
        <v>2532</v>
      </c>
      <c r="D3" s="30" t="s">
        <v>2533</v>
      </c>
      <c r="E3" s="30" t="s">
        <v>2534</v>
      </c>
      <c r="F3" s="30" t="s">
        <v>2535</v>
      </c>
    </row>
    <row r="4" spans="1:6" ht="90" customHeight="1" x14ac:dyDescent="0.2">
      <c r="A4" s="31" t="s">
        <v>2049</v>
      </c>
      <c r="B4" s="28" t="s">
        <v>2536</v>
      </c>
      <c r="C4" s="28" t="s">
        <v>2537</v>
      </c>
      <c r="D4" s="28" t="s">
        <v>2538</v>
      </c>
      <c r="E4" s="32">
        <v>46</v>
      </c>
      <c r="F4" s="28" t="s">
        <v>2539</v>
      </c>
    </row>
    <row r="5" spans="1:6" ht="90" customHeight="1" x14ac:dyDescent="0.2">
      <c r="A5" s="31" t="s">
        <v>2077</v>
      </c>
      <c r="B5" s="28" t="s">
        <v>2540</v>
      </c>
      <c r="C5" s="28" t="s">
        <v>2541</v>
      </c>
      <c r="D5" s="28" t="s">
        <v>2542</v>
      </c>
      <c r="E5" s="32">
        <v>42</v>
      </c>
      <c r="F5" s="28" t="s">
        <v>2543</v>
      </c>
    </row>
    <row r="6" spans="1:6" ht="90" customHeight="1" x14ac:dyDescent="0.2">
      <c r="A6" s="31" t="s">
        <v>2086</v>
      </c>
      <c r="B6" s="28" t="s">
        <v>2544</v>
      </c>
      <c r="C6" s="28" t="s">
        <v>2545</v>
      </c>
      <c r="D6" s="28" t="s">
        <v>2546</v>
      </c>
      <c r="E6" s="32">
        <v>29</v>
      </c>
      <c r="F6" s="28" t="s">
        <v>2547</v>
      </c>
    </row>
    <row r="7" spans="1:6" ht="90" customHeight="1" x14ac:dyDescent="0.2">
      <c r="A7" s="31" t="s">
        <v>2113</v>
      </c>
      <c r="B7" s="28" t="s">
        <v>2548</v>
      </c>
      <c r="C7" s="28" t="s">
        <v>2549</v>
      </c>
      <c r="D7" s="28" t="s">
        <v>2550</v>
      </c>
      <c r="E7" s="32">
        <v>27</v>
      </c>
      <c r="F7" s="28" t="s">
        <v>2551</v>
      </c>
    </row>
    <row r="8" spans="1:6" ht="90" customHeight="1" x14ac:dyDescent="0.2">
      <c r="A8" s="31" t="s">
        <v>2128</v>
      </c>
      <c r="B8" s="28" t="s">
        <v>2552</v>
      </c>
      <c r="C8" s="28" t="s">
        <v>2553</v>
      </c>
      <c r="D8" s="28" t="s">
        <v>2554</v>
      </c>
      <c r="E8" s="32">
        <v>25</v>
      </c>
      <c r="F8" s="28" t="s">
        <v>2555</v>
      </c>
    </row>
    <row r="9" spans="1:6" ht="90" customHeight="1" x14ac:dyDescent="0.2">
      <c r="A9" s="31" t="s">
        <v>2139</v>
      </c>
      <c r="B9" s="28" t="s">
        <v>2556</v>
      </c>
      <c r="C9" s="28" t="s">
        <v>2557</v>
      </c>
      <c r="D9" s="28" t="s">
        <v>2558</v>
      </c>
      <c r="E9" s="32">
        <v>22</v>
      </c>
      <c r="F9" s="28" t="s">
        <v>2559</v>
      </c>
    </row>
    <row r="10" spans="1:6" ht="90" customHeight="1" x14ac:dyDescent="0.2">
      <c r="A10" s="31" t="s">
        <v>2145</v>
      </c>
      <c r="B10" s="28" t="s">
        <v>2560</v>
      </c>
      <c r="C10" s="28" t="s">
        <v>2561</v>
      </c>
      <c r="D10" s="28" t="s">
        <v>2562</v>
      </c>
      <c r="E10" s="32">
        <v>21</v>
      </c>
      <c r="F10" s="28" t="s">
        <v>2563</v>
      </c>
    </row>
    <row r="11" spans="1:6" ht="90" customHeight="1" x14ac:dyDescent="0.2">
      <c r="A11" s="31" t="s">
        <v>2167</v>
      </c>
      <c r="B11" s="28" t="s">
        <v>2564</v>
      </c>
      <c r="C11" s="28" t="s">
        <v>2565</v>
      </c>
      <c r="D11" s="28" t="s">
        <v>2566</v>
      </c>
      <c r="E11" s="32">
        <v>21</v>
      </c>
      <c r="F11" s="28" t="s">
        <v>2567</v>
      </c>
    </row>
    <row r="12" spans="1:6" ht="90" customHeight="1" x14ac:dyDescent="0.2">
      <c r="A12" s="31" t="s">
        <v>2172</v>
      </c>
      <c r="B12" s="28" t="s">
        <v>2568</v>
      </c>
      <c r="C12" s="28" t="s">
        <v>2569</v>
      </c>
      <c r="D12" s="28" t="s">
        <v>2570</v>
      </c>
      <c r="E12" s="32">
        <v>20</v>
      </c>
      <c r="F12" s="28" t="s">
        <v>2571</v>
      </c>
    </row>
    <row r="13" spans="1:6" ht="90" customHeight="1" x14ac:dyDescent="0.2">
      <c r="A13" s="31" t="s">
        <v>2181</v>
      </c>
      <c r="B13" s="28" t="s">
        <v>2572</v>
      </c>
      <c r="C13" s="28" t="s">
        <v>2573</v>
      </c>
      <c r="D13" s="28" t="s">
        <v>2574</v>
      </c>
      <c r="E13" s="32">
        <v>19</v>
      </c>
      <c r="F13" s="28" t="s">
        <v>2575</v>
      </c>
    </row>
    <row r="14" spans="1:6" ht="90" customHeight="1" x14ac:dyDescent="0.2">
      <c r="A14" s="31" t="s">
        <v>2193</v>
      </c>
      <c r="B14" s="28" t="s">
        <v>2576</v>
      </c>
      <c r="C14" s="28" t="s">
        <v>2577</v>
      </c>
      <c r="D14" s="28" t="s">
        <v>2578</v>
      </c>
      <c r="E14" s="32">
        <v>18</v>
      </c>
      <c r="F14" s="28" t="s">
        <v>2579</v>
      </c>
    </row>
    <row r="15" spans="1:6" ht="90" customHeight="1" x14ac:dyDescent="0.2">
      <c r="A15" s="31" t="s">
        <v>2205</v>
      </c>
      <c r="B15" s="28" t="s">
        <v>2580</v>
      </c>
      <c r="C15" s="28" t="s">
        <v>2581</v>
      </c>
      <c r="D15" s="28" t="s">
        <v>2582</v>
      </c>
      <c r="E15" s="32">
        <v>17</v>
      </c>
      <c r="F15" s="28" t="s">
        <v>2583</v>
      </c>
    </row>
    <row r="16" spans="1:6" ht="90" customHeight="1" x14ac:dyDescent="0.2">
      <c r="A16" s="31" t="s">
        <v>2258</v>
      </c>
      <c r="B16" s="28" t="s">
        <v>2584</v>
      </c>
      <c r="C16" s="28" t="s">
        <v>2585</v>
      </c>
      <c r="D16" s="28" t="s">
        <v>2586</v>
      </c>
      <c r="E16" s="32">
        <v>16</v>
      </c>
      <c r="F16" s="28" t="s">
        <v>2587</v>
      </c>
    </row>
    <row r="17" spans="1:6" ht="90" customHeight="1" x14ac:dyDescent="0.2">
      <c r="A17" s="31" t="s">
        <v>2264</v>
      </c>
      <c r="B17" s="28" t="s">
        <v>2588</v>
      </c>
      <c r="C17" s="28" t="s">
        <v>2589</v>
      </c>
      <c r="D17" s="28" t="s">
        <v>2590</v>
      </c>
      <c r="E17" s="32">
        <v>16</v>
      </c>
      <c r="F17" s="28" t="s">
        <v>2591</v>
      </c>
    </row>
    <row r="18" spans="1:6" ht="90" customHeight="1" x14ac:dyDescent="0.2">
      <c r="A18" s="31" t="s">
        <v>2277</v>
      </c>
      <c r="B18" s="28" t="s">
        <v>2592</v>
      </c>
      <c r="C18" s="28" t="s">
        <v>2593</v>
      </c>
      <c r="D18" s="28" t="s">
        <v>2594</v>
      </c>
      <c r="E18" s="32">
        <v>14</v>
      </c>
      <c r="F18" s="28" t="s">
        <v>2595</v>
      </c>
    </row>
    <row r="19" spans="1:6" ht="90" customHeight="1" x14ac:dyDescent="0.2">
      <c r="A19" s="31" t="s">
        <v>2321</v>
      </c>
      <c r="B19" s="28" t="s">
        <v>2596</v>
      </c>
      <c r="C19" s="28" t="s">
        <v>2597</v>
      </c>
      <c r="D19" s="28" t="s">
        <v>2598</v>
      </c>
      <c r="E19" s="32">
        <v>13</v>
      </c>
      <c r="F19" s="28" t="s">
        <v>2599</v>
      </c>
    </row>
    <row r="20" spans="1:6" ht="90" customHeight="1" x14ac:dyDescent="0.2">
      <c r="A20" s="31" t="s">
        <v>2327</v>
      </c>
      <c r="B20" s="28" t="s">
        <v>2600</v>
      </c>
      <c r="C20" s="28" t="s">
        <v>2601</v>
      </c>
      <c r="D20" s="28" t="s">
        <v>2602</v>
      </c>
      <c r="E20" s="32">
        <v>13</v>
      </c>
      <c r="F20" s="28" t="s">
        <v>2603</v>
      </c>
    </row>
    <row r="21" spans="1:6" ht="90" customHeight="1" x14ac:dyDescent="0.2">
      <c r="A21" s="31" t="s">
        <v>2339</v>
      </c>
      <c r="B21" s="28" t="s">
        <v>2604</v>
      </c>
      <c r="C21" s="28" t="s">
        <v>2605</v>
      </c>
      <c r="D21" s="28" t="s">
        <v>2606</v>
      </c>
      <c r="E21" s="32">
        <v>13</v>
      </c>
      <c r="F21" s="28" t="s">
        <v>2607</v>
      </c>
    </row>
    <row r="22" spans="1:6" ht="90" customHeight="1" x14ac:dyDescent="0.2">
      <c r="A22" s="31" t="s">
        <v>2341</v>
      </c>
      <c r="B22" s="28" t="s">
        <v>2608</v>
      </c>
      <c r="C22" s="28" t="s">
        <v>2609</v>
      </c>
      <c r="D22" s="28" t="s">
        <v>2610</v>
      </c>
      <c r="E22" s="32">
        <v>12</v>
      </c>
      <c r="F22" s="28" t="s">
        <v>2611</v>
      </c>
    </row>
    <row r="23" spans="1:6" ht="90" customHeight="1" x14ac:dyDescent="0.2">
      <c r="A23" s="31" t="s">
        <v>2347</v>
      </c>
      <c r="B23" s="28" t="s">
        <v>2612</v>
      </c>
      <c r="C23" s="28" t="s">
        <v>2613</v>
      </c>
      <c r="D23" s="28" t="s">
        <v>2614</v>
      </c>
      <c r="E23" s="32">
        <v>12</v>
      </c>
      <c r="F23" s="28" t="s">
        <v>2615</v>
      </c>
    </row>
    <row r="24" spans="1:6" ht="90" customHeight="1" x14ac:dyDescent="0.2">
      <c r="A24" s="31" t="s">
        <v>2350</v>
      </c>
      <c r="B24" s="28" t="s">
        <v>2616</v>
      </c>
      <c r="C24" s="28" t="s">
        <v>2617</v>
      </c>
      <c r="D24" s="28" t="s">
        <v>2618</v>
      </c>
      <c r="E24" s="32">
        <v>10</v>
      </c>
      <c r="F24" s="28" t="s">
        <v>2619</v>
      </c>
    </row>
    <row r="25" spans="1:6" ht="90" customHeight="1" x14ac:dyDescent="0.2">
      <c r="A25" s="31" t="s">
        <v>2367</v>
      </c>
      <c r="B25" s="28" t="s">
        <v>2620</v>
      </c>
      <c r="C25" s="28" t="s">
        <v>2621</v>
      </c>
      <c r="D25" s="28" t="s">
        <v>2622</v>
      </c>
      <c r="E25" s="32">
        <v>10</v>
      </c>
      <c r="F25" s="28" t="s">
        <v>2623</v>
      </c>
    </row>
    <row r="26" spans="1:6" ht="90" customHeight="1" x14ac:dyDescent="0.2">
      <c r="A26" s="31" t="s">
        <v>2389</v>
      </c>
      <c r="B26" s="28" t="s">
        <v>2624</v>
      </c>
      <c r="C26" s="28" t="s">
        <v>2625</v>
      </c>
      <c r="D26" s="28" t="s">
        <v>2626</v>
      </c>
      <c r="E26" s="32">
        <v>9</v>
      </c>
      <c r="F26" s="28" t="s">
        <v>2627</v>
      </c>
    </row>
    <row r="27" spans="1:6" ht="90" customHeight="1" x14ac:dyDescent="0.2">
      <c r="A27" s="31" t="s">
        <v>2395</v>
      </c>
      <c r="B27" s="28" t="s">
        <v>2628</v>
      </c>
      <c r="C27" s="28" t="s">
        <v>2629</v>
      </c>
      <c r="D27" s="28" t="s">
        <v>2630</v>
      </c>
      <c r="E27" s="32">
        <v>9</v>
      </c>
      <c r="F27" s="28" t="s">
        <v>2631</v>
      </c>
    </row>
    <row r="28" spans="1:6" ht="90" customHeight="1" x14ac:dyDescent="0.2">
      <c r="A28" s="31" t="s">
        <v>2414</v>
      </c>
      <c r="B28" s="28" t="s">
        <v>2632</v>
      </c>
      <c r="C28" s="28" t="s">
        <v>2633</v>
      </c>
      <c r="D28" s="28" t="s">
        <v>2634</v>
      </c>
      <c r="E28" s="32">
        <v>9</v>
      </c>
      <c r="F28" s="28" t="s">
        <v>2635</v>
      </c>
    </row>
    <row r="29" spans="1:6" ht="90" customHeight="1" x14ac:dyDescent="0.2">
      <c r="A29" s="31" t="s">
        <v>2421</v>
      </c>
      <c r="B29" s="28" t="s">
        <v>2636</v>
      </c>
      <c r="C29" s="28" t="s">
        <v>2637</v>
      </c>
      <c r="D29" s="28" t="s">
        <v>2638</v>
      </c>
      <c r="E29" s="32">
        <v>9</v>
      </c>
      <c r="F29" s="28" t="s">
        <v>2639</v>
      </c>
    </row>
    <row r="30" spans="1:6" ht="90" customHeight="1" x14ac:dyDescent="0.2">
      <c r="A30" s="31" t="s">
        <v>2423</v>
      </c>
      <c r="B30" s="28" t="s">
        <v>2640</v>
      </c>
      <c r="C30" s="28" t="s">
        <v>2641</v>
      </c>
      <c r="D30" s="28" t="s">
        <v>2642</v>
      </c>
      <c r="E30" s="32">
        <v>9</v>
      </c>
      <c r="F30" s="28" t="s">
        <v>2643</v>
      </c>
    </row>
    <row r="31" spans="1:6" ht="90" customHeight="1" x14ac:dyDescent="0.2">
      <c r="A31" s="31" t="s">
        <v>2431</v>
      </c>
      <c r="B31" s="28" t="s">
        <v>2644</v>
      </c>
      <c r="C31" s="28" t="s">
        <v>2645</v>
      </c>
      <c r="D31" s="28" t="s">
        <v>2646</v>
      </c>
      <c r="E31" s="32">
        <v>8</v>
      </c>
      <c r="F31" s="28" t="s">
        <v>2647</v>
      </c>
    </row>
    <row r="32" spans="1:6" ht="90" customHeight="1" x14ac:dyDescent="0.2">
      <c r="A32" s="31" t="s">
        <v>2435</v>
      </c>
      <c r="B32" s="28" t="s">
        <v>2648</v>
      </c>
      <c r="C32" s="28" t="s">
        <v>2649</v>
      </c>
      <c r="D32" s="28" t="s">
        <v>2650</v>
      </c>
      <c r="E32" s="32">
        <v>7</v>
      </c>
      <c r="F32" s="28" t="s">
        <v>2651</v>
      </c>
    </row>
    <row r="33" spans="1:6" ht="90" customHeight="1" x14ac:dyDescent="0.2">
      <c r="A33" s="31" t="s">
        <v>2437</v>
      </c>
      <c r="B33" s="28" t="s">
        <v>2652</v>
      </c>
      <c r="C33" s="28" t="s">
        <v>2653</v>
      </c>
      <c r="D33" s="28" t="s">
        <v>2654</v>
      </c>
      <c r="E33" s="32">
        <v>6</v>
      </c>
      <c r="F33" s="28" t="s">
        <v>2655</v>
      </c>
    </row>
    <row r="34" spans="1:6" ht="90" customHeight="1" x14ac:dyDescent="0.2">
      <c r="A34" s="31" t="s">
        <v>2439</v>
      </c>
      <c r="B34" s="28" t="s">
        <v>2656</v>
      </c>
      <c r="C34" s="28" t="s">
        <v>2657</v>
      </c>
      <c r="D34" s="28" t="s">
        <v>2658</v>
      </c>
      <c r="E34" s="32">
        <v>5</v>
      </c>
      <c r="F34" s="28" t="s">
        <v>2659</v>
      </c>
    </row>
    <row r="35" spans="1:6" ht="90" customHeight="1" x14ac:dyDescent="0.2">
      <c r="A35" s="31" t="s">
        <v>2448</v>
      </c>
      <c r="B35" s="28" t="s">
        <v>2660</v>
      </c>
      <c r="C35" s="28" t="s">
        <v>2661</v>
      </c>
      <c r="D35" s="28" t="s">
        <v>2662</v>
      </c>
      <c r="E35" s="32">
        <v>50</v>
      </c>
      <c r="F35" s="28" t="s">
        <v>2663</v>
      </c>
    </row>
  </sheetData>
  <autoFilter ref="A3:F35" xr:uid="{00000000-0009-0000-0000-00000F000000}"/>
  <pageMargins left="0.75" right="0.75" top="1" bottom="1" header="0.511811023622047" footer="0.511811023622047"/>
  <pageSetup fitToHeight="0"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L30"/>
  <sheetViews>
    <sheetView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5" x14ac:dyDescent="0.2"/>
  <cols>
    <col min="1" max="1" width="11" customWidth="1"/>
    <col min="2" max="2" width="44" customWidth="1"/>
    <col min="3" max="3" width="64" customWidth="1"/>
    <col min="4" max="6" width="5" customWidth="1"/>
    <col min="7" max="7" width="54" customWidth="1"/>
    <col min="8" max="8" width="42" customWidth="1"/>
    <col min="9" max="9" width="12" customWidth="1"/>
    <col min="10" max="11" width="14" customWidth="1"/>
    <col min="12" max="12" width="26" customWidth="1"/>
  </cols>
  <sheetData>
    <row r="1" spans="1:12" ht="15.75" customHeight="1" x14ac:dyDescent="0.2">
      <c r="A1" s="33" t="s">
        <v>2664</v>
      </c>
    </row>
    <row r="3" spans="1:12" ht="15" customHeight="1" x14ac:dyDescent="0.2">
      <c r="A3" s="34" t="s">
        <v>48</v>
      </c>
      <c r="B3" s="34" t="s">
        <v>50</v>
      </c>
      <c r="C3" s="34" t="s">
        <v>2665</v>
      </c>
      <c r="D3" s="34" t="s">
        <v>52</v>
      </c>
      <c r="E3" s="34" t="s">
        <v>53</v>
      </c>
      <c r="F3" s="34" t="s">
        <v>54</v>
      </c>
      <c r="G3" s="34" t="s">
        <v>999</v>
      </c>
      <c r="H3" s="34" t="s">
        <v>57</v>
      </c>
      <c r="I3" s="34" t="s">
        <v>545</v>
      </c>
      <c r="J3" s="34" t="s">
        <v>59</v>
      </c>
      <c r="K3" s="34" t="s">
        <v>60</v>
      </c>
      <c r="L3" s="34" t="s">
        <v>61</v>
      </c>
    </row>
    <row r="4" spans="1:12" ht="15" customHeight="1" x14ac:dyDescent="0.2">
      <c r="A4" s="6" t="s">
        <v>2666</v>
      </c>
      <c r="B4" s="6" t="s">
        <v>2667</v>
      </c>
      <c r="C4" s="6"/>
      <c r="D4" s="6"/>
      <c r="E4" s="6"/>
      <c r="F4" s="6"/>
      <c r="G4" s="6"/>
      <c r="H4" s="6"/>
      <c r="I4" s="6"/>
      <c r="J4" s="6"/>
      <c r="K4" s="6"/>
      <c r="L4" s="6"/>
    </row>
    <row r="5" spans="1:12" ht="34.5" customHeight="1" x14ac:dyDescent="0.2">
      <c r="A5" s="7" t="s">
        <v>748</v>
      </c>
      <c r="B5" s="7" t="s">
        <v>2147</v>
      </c>
      <c r="C5" s="7" t="s">
        <v>2148</v>
      </c>
      <c r="D5" s="8"/>
      <c r="E5" s="8"/>
      <c r="F5" s="8"/>
      <c r="G5" s="7" t="s">
        <v>2668</v>
      </c>
      <c r="H5" s="7" t="s">
        <v>2669</v>
      </c>
      <c r="I5" s="7" t="s">
        <v>71</v>
      </c>
      <c r="J5" s="7" t="s">
        <v>72</v>
      </c>
      <c r="K5" s="7"/>
      <c r="L5" s="7"/>
    </row>
    <row r="6" spans="1:12" ht="23.25" customHeight="1" x14ac:dyDescent="0.2">
      <c r="A6" s="7" t="s">
        <v>753</v>
      </c>
      <c r="B6" s="7" t="s">
        <v>2078</v>
      </c>
      <c r="C6" s="7" t="s">
        <v>2079</v>
      </c>
      <c r="D6" s="8"/>
      <c r="E6" s="8"/>
      <c r="F6" s="8"/>
      <c r="G6" s="7" t="s">
        <v>2668</v>
      </c>
      <c r="H6" s="7" t="s">
        <v>2670</v>
      </c>
      <c r="I6" s="7" t="s">
        <v>71</v>
      </c>
      <c r="J6" s="7" t="s">
        <v>72</v>
      </c>
      <c r="K6" s="7"/>
      <c r="L6" s="7"/>
    </row>
    <row r="7" spans="1:12" ht="23.25" customHeight="1" x14ac:dyDescent="0.2">
      <c r="A7" s="7" t="s">
        <v>758</v>
      </c>
      <c r="B7" s="7" t="s">
        <v>2149</v>
      </c>
      <c r="C7" s="7" t="s">
        <v>2150</v>
      </c>
      <c r="D7" s="8"/>
      <c r="E7" s="8" t="s">
        <v>67</v>
      </c>
      <c r="F7" s="8"/>
      <c r="G7" s="7" t="s">
        <v>2671</v>
      </c>
      <c r="H7" s="7" t="s">
        <v>2672</v>
      </c>
      <c r="I7" s="7" t="s">
        <v>71</v>
      </c>
      <c r="J7" s="7" t="s">
        <v>72</v>
      </c>
      <c r="K7" s="7"/>
      <c r="L7" s="7"/>
    </row>
    <row r="8" spans="1:12" ht="15" customHeight="1" x14ac:dyDescent="0.2">
      <c r="A8" s="6" t="s">
        <v>2673</v>
      </c>
      <c r="B8" s="6" t="s">
        <v>2674</v>
      </c>
      <c r="C8" s="6"/>
      <c r="D8" s="6"/>
      <c r="E8" s="6"/>
      <c r="F8" s="6"/>
      <c r="G8" s="6"/>
      <c r="H8" s="6"/>
      <c r="I8" s="6"/>
      <c r="J8" s="6"/>
      <c r="K8" s="6"/>
      <c r="L8" s="6"/>
    </row>
    <row r="9" spans="1:12" ht="34.5" customHeight="1" x14ac:dyDescent="0.2">
      <c r="A9" s="7" t="s">
        <v>774</v>
      </c>
      <c r="B9" s="7" t="s">
        <v>2451</v>
      </c>
      <c r="C9" s="7" t="s">
        <v>2452</v>
      </c>
      <c r="D9" s="8" t="s">
        <v>67</v>
      </c>
      <c r="E9" s="8"/>
      <c r="F9" s="8"/>
      <c r="G9" s="7" t="s">
        <v>2675</v>
      </c>
      <c r="H9" s="7" t="s">
        <v>2676</v>
      </c>
      <c r="I9" s="7" t="s">
        <v>71</v>
      </c>
      <c r="J9" s="7" t="s">
        <v>72</v>
      </c>
      <c r="K9" s="7"/>
      <c r="L9" s="7"/>
    </row>
    <row r="10" spans="1:12" ht="23.25" customHeight="1" x14ac:dyDescent="0.2">
      <c r="A10" s="7" t="s">
        <v>778</v>
      </c>
      <c r="B10" s="7" t="s">
        <v>2453</v>
      </c>
      <c r="C10" s="7" t="s">
        <v>2454</v>
      </c>
      <c r="D10" s="8" t="s">
        <v>67</v>
      </c>
      <c r="E10" s="8"/>
      <c r="F10" s="8"/>
      <c r="G10" s="7" t="s">
        <v>2677</v>
      </c>
      <c r="H10" s="7" t="s">
        <v>2678</v>
      </c>
      <c r="I10" s="7" t="s">
        <v>71</v>
      </c>
      <c r="J10" s="7" t="s">
        <v>72</v>
      </c>
      <c r="K10" s="7"/>
      <c r="L10" s="7"/>
    </row>
    <row r="11" spans="1:12" ht="34.5" customHeight="1" x14ac:dyDescent="0.2">
      <c r="A11" s="7" t="s">
        <v>782</v>
      </c>
      <c r="B11" s="7" t="s">
        <v>2053</v>
      </c>
      <c r="C11" s="7" t="s">
        <v>2054</v>
      </c>
      <c r="D11" s="8"/>
      <c r="E11" s="8"/>
      <c r="F11" s="8"/>
      <c r="G11" s="7" t="s">
        <v>2668</v>
      </c>
      <c r="H11" s="7" t="s">
        <v>2679</v>
      </c>
      <c r="I11" s="7" t="s">
        <v>71</v>
      </c>
      <c r="J11" s="7" t="s">
        <v>72</v>
      </c>
      <c r="K11" s="7"/>
      <c r="L11" s="7"/>
    </row>
    <row r="12" spans="1:12" ht="15" customHeight="1" x14ac:dyDescent="0.2">
      <c r="A12" s="6" t="s">
        <v>2680</v>
      </c>
      <c r="B12" s="6" t="s">
        <v>2681</v>
      </c>
      <c r="C12" s="6"/>
      <c r="D12" s="6"/>
      <c r="E12" s="6"/>
      <c r="F12" s="6"/>
      <c r="G12" s="6"/>
      <c r="H12" s="6"/>
      <c r="I12" s="6"/>
      <c r="J12" s="6"/>
      <c r="K12" s="6"/>
      <c r="L12" s="6"/>
    </row>
    <row r="13" spans="1:12" ht="34.5" customHeight="1" x14ac:dyDescent="0.2">
      <c r="A13" s="7" t="s">
        <v>796</v>
      </c>
      <c r="B13" s="7" t="s">
        <v>2455</v>
      </c>
      <c r="C13" s="7" t="s">
        <v>2456</v>
      </c>
      <c r="D13" s="8"/>
      <c r="E13" s="8"/>
      <c r="F13" s="8"/>
      <c r="G13" s="7" t="s">
        <v>2668</v>
      </c>
      <c r="H13" s="7" t="s">
        <v>2682</v>
      </c>
      <c r="I13" s="7" t="s">
        <v>71</v>
      </c>
      <c r="J13" s="7" t="s">
        <v>72</v>
      </c>
      <c r="K13" s="7"/>
      <c r="L13" s="7"/>
    </row>
    <row r="14" spans="1:12" ht="34.5" customHeight="1" x14ac:dyDescent="0.2">
      <c r="A14" s="7" t="s">
        <v>800</v>
      </c>
      <c r="B14" s="7" t="s">
        <v>2119</v>
      </c>
      <c r="C14" s="7" t="s">
        <v>2120</v>
      </c>
      <c r="D14" s="8"/>
      <c r="E14" s="8"/>
      <c r="F14" s="8"/>
      <c r="G14" s="7" t="s">
        <v>2668</v>
      </c>
      <c r="H14" s="7" t="s">
        <v>2683</v>
      </c>
      <c r="I14" s="7" t="s">
        <v>71</v>
      </c>
      <c r="J14" s="7" t="s">
        <v>72</v>
      </c>
      <c r="K14" s="7"/>
      <c r="L14" s="7"/>
    </row>
    <row r="15" spans="1:12" ht="34.5" customHeight="1" x14ac:dyDescent="0.2">
      <c r="A15" s="7" t="s">
        <v>804</v>
      </c>
      <c r="B15" s="7" t="s">
        <v>2416</v>
      </c>
      <c r="C15" s="7" t="s">
        <v>2417</v>
      </c>
      <c r="D15" s="8" t="s">
        <v>67</v>
      </c>
      <c r="E15" s="8" t="s">
        <v>67</v>
      </c>
      <c r="F15" s="8"/>
      <c r="G15" s="7" t="s">
        <v>2684</v>
      </c>
      <c r="H15" s="7" t="s">
        <v>2685</v>
      </c>
      <c r="I15" s="7" t="s">
        <v>71</v>
      </c>
      <c r="J15" s="7" t="s">
        <v>72</v>
      </c>
      <c r="K15" s="7"/>
      <c r="L15" s="7"/>
    </row>
    <row r="16" spans="1:12" ht="15" customHeight="1" x14ac:dyDescent="0.2">
      <c r="A16" s="6" t="s">
        <v>2686</v>
      </c>
      <c r="B16" s="6" t="s">
        <v>2687</v>
      </c>
      <c r="C16" s="6"/>
      <c r="D16" s="6"/>
      <c r="E16" s="6"/>
      <c r="F16" s="6"/>
      <c r="G16" s="6"/>
      <c r="H16" s="6"/>
      <c r="I16" s="6"/>
      <c r="J16" s="6"/>
      <c r="K16" s="6"/>
      <c r="L16" s="6"/>
    </row>
    <row r="17" spans="1:12" ht="34.5" customHeight="1" x14ac:dyDescent="0.2">
      <c r="A17" s="7" t="s">
        <v>176</v>
      </c>
      <c r="B17" s="7" t="s">
        <v>2457</v>
      </c>
      <c r="C17" s="7" t="s">
        <v>2458</v>
      </c>
      <c r="D17" s="8"/>
      <c r="E17" s="8"/>
      <c r="F17" s="8"/>
      <c r="G17" s="7" t="s">
        <v>2668</v>
      </c>
      <c r="H17" s="7" t="s">
        <v>2688</v>
      </c>
      <c r="I17" s="7" t="s">
        <v>71</v>
      </c>
      <c r="J17" s="7" t="s">
        <v>72</v>
      </c>
      <c r="K17" s="7"/>
      <c r="L17" s="7"/>
    </row>
    <row r="18" spans="1:12" ht="34.5" customHeight="1" x14ac:dyDescent="0.2">
      <c r="A18" s="7" t="s">
        <v>182</v>
      </c>
      <c r="B18" s="7" t="s">
        <v>2342</v>
      </c>
      <c r="C18" s="7" t="s">
        <v>2343</v>
      </c>
      <c r="D18" s="8" t="s">
        <v>67</v>
      </c>
      <c r="E18" s="8" t="s">
        <v>67</v>
      </c>
      <c r="F18" s="8" t="s">
        <v>67</v>
      </c>
      <c r="G18" s="7" t="s">
        <v>2689</v>
      </c>
      <c r="H18" s="7" t="s">
        <v>2690</v>
      </c>
      <c r="I18" s="7" t="s">
        <v>71</v>
      </c>
      <c r="J18" s="7" t="s">
        <v>72</v>
      </c>
      <c r="K18" s="7"/>
      <c r="L18" s="7"/>
    </row>
    <row r="19" spans="1:12" ht="15" customHeight="1" x14ac:dyDescent="0.2">
      <c r="A19" s="6" t="s">
        <v>2691</v>
      </c>
      <c r="B19" s="6" t="s">
        <v>2692</v>
      </c>
      <c r="C19" s="6"/>
      <c r="D19" s="6"/>
      <c r="E19" s="6"/>
      <c r="F19" s="6"/>
      <c r="G19" s="6"/>
      <c r="H19" s="6"/>
      <c r="I19" s="6"/>
      <c r="J19" s="6"/>
      <c r="K19" s="6"/>
      <c r="L19" s="6"/>
    </row>
    <row r="20" spans="1:12" ht="34.5" customHeight="1" x14ac:dyDescent="0.2">
      <c r="A20" s="7" t="s">
        <v>197</v>
      </c>
      <c r="B20" s="7" t="s">
        <v>2418</v>
      </c>
      <c r="C20" s="7" t="s">
        <v>2419</v>
      </c>
      <c r="D20" s="8" t="s">
        <v>67</v>
      </c>
      <c r="E20" s="8" t="s">
        <v>67</v>
      </c>
      <c r="F20" s="8" t="s">
        <v>67</v>
      </c>
      <c r="G20" s="7" t="s">
        <v>2693</v>
      </c>
      <c r="H20" s="7" t="s">
        <v>2694</v>
      </c>
      <c r="I20" s="7" t="s">
        <v>71</v>
      </c>
      <c r="J20" s="7" t="s">
        <v>72</v>
      </c>
      <c r="K20" s="7"/>
      <c r="L20" s="7"/>
    </row>
    <row r="21" spans="1:12" ht="34.5" customHeight="1" x14ac:dyDescent="0.2">
      <c r="A21" s="7" t="s">
        <v>203</v>
      </c>
      <c r="B21" s="7" t="s">
        <v>2265</v>
      </c>
      <c r="C21" s="7" t="s">
        <v>2266</v>
      </c>
      <c r="D21" s="8" t="s">
        <v>67</v>
      </c>
      <c r="E21" s="8"/>
      <c r="F21" s="8"/>
      <c r="G21" s="7" t="s">
        <v>2695</v>
      </c>
      <c r="H21" s="7" t="s">
        <v>2696</v>
      </c>
      <c r="I21" s="7" t="s">
        <v>71</v>
      </c>
      <c r="J21" s="7" t="s">
        <v>72</v>
      </c>
      <c r="K21" s="7"/>
      <c r="L21" s="7"/>
    </row>
    <row r="22" spans="1:12" ht="34.5" customHeight="1" x14ac:dyDescent="0.2">
      <c r="A22" s="7" t="s">
        <v>208</v>
      </c>
      <c r="B22" s="7" t="s">
        <v>2441</v>
      </c>
      <c r="C22" s="7" t="s">
        <v>2442</v>
      </c>
      <c r="D22" s="8" t="s">
        <v>67</v>
      </c>
      <c r="E22" s="8" t="s">
        <v>67</v>
      </c>
      <c r="F22" s="8" t="s">
        <v>67</v>
      </c>
      <c r="G22" s="7" t="s">
        <v>2697</v>
      </c>
      <c r="H22" s="7" t="s">
        <v>2698</v>
      </c>
      <c r="I22" s="7" t="s">
        <v>71</v>
      </c>
      <c r="J22" s="7" t="s">
        <v>72</v>
      </c>
      <c r="K22" s="7"/>
      <c r="L22" s="7"/>
    </row>
    <row r="23" spans="1:12" ht="15" customHeight="1" x14ac:dyDescent="0.2">
      <c r="A23" s="6" t="s">
        <v>2699</v>
      </c>
      <c r="B23" s="6" t="s">
        <v>2700</v>
      </c>
      <c r="C23" s="6"/>
      <c r="D23" s="6"/>
      <c r="E23" s="6"/>
      <c r="F23" s="6"/>
      <c r="G23" s="6"/>
      <c r="H23" s="6"/>
      <c r="I23" s="6"/>
      <c r="J23" s="6"/>
      <c r="K23" s="6"/>
      <c r="L23" s="6"/>
    </row>
    <row r="24" spans="1:12" ht="34.5" customHeight="1" x14ac:dyDescent="0.2">
      <c r="A24" s="7" t="s">
        <v>961</v>
      </c>
      <c r="B24" s="7" t="s">
        <v>2183</v>
      </c>
      <c r="C24" s="7" t="s">
        <v>2184</v>
      </c>
      <c r="D24" s="8"/>
      <c r="E24" s="8" t="s">
        <v>67</v>
      </c>
      <c r="F24" s="8"/>
      <c r="G24" s="7" t="s">
        <v>2701</v>
      </c>
      <c r="H24" s="7" t="s">
        <v>2702</v>
      </c>
      <c r="I24" s="7" t="s">
        <v>71</v>
      </c>
      <c r="J24" s="7" t="s">
        <v>72</v>
      </c>
      <c r="K24" s="7"/>
      <c r="L24" s="7"/>
    </row>
    <row r="25" spans="1:12" ht="34.5" customHeight="1" x14ac:dyDescent="0.2">
      <c r="A25" s="7" t="s">
        <v>225</v>
      </c>
      <c r="B25" s="7" t="s">
        <v>2080</v>
      </c>
      <c r="C25" s="7" t="s">
        <v>2081</v>
      </c>
      <c r="D25" s="8"/>
      <c r="E25" s="8"/>
      <c r="F25" s="8"/>
      <c r="G25" s="7" t="s">
        <v>2668</v>
      </c>
      <c r="H25" s="7" t="s">
        <v>2703</v>
      </c>
      <c r="I25" s="7" t="s">
        <v>71</v>
      </c>
      <c r="J25" s="7" t="s">
        <v>72</v>
      </c>
      <c r="K25" s="7"/>
      <c r="L25" s="7"/>
    </row>
    <row r="26" spans="1:12" ht="23.25" customHeight="1" x14ac:dyDescent="0.2">
      <c r="A26" s="7" t="s">
        <v>230</v>
      </c>
      <c r="B26" s="7" t="s">
        <v>2140</v>
      </c>
      <c r="C26" s="7" t="s">
        <v>2141</v>
      </c>
      <c r="D26" s="8"/>
      <c r="E26" s="8"/>
      <c r="F26" s="8"/>
      <c r="G26" s="7" t="s">
        <v>2668</v>
      </c>
      <c r="H26" s="7" t="s">
        <v>2704</v>
      </c>
      <c r="I26" s="7" t="s">
        <v>71</v>
      </c>
      <c r="J26" s="7" t="s">
        <v>72</v>
      </c>
      <c r="K26" s="7"/>
      <c r="L26" s="7"/>
    </row>
    <row r="27" spans="1:12" ht="15" customHeight="1" x14ac:dyDescent="0.2">
      <c r="A27" s="6" t="s">
        <v>2705</v>
      </c>
      <c r="B27" s="6" t="s">
        <v>2706</v>
      </c>
      <c r="C27" s="6"/>
      <c r="D27" s="6"/>
      <c r="E27" s="6"/>
      <c r="F27" s="6"/>
      <c r="G27" s="6"/>
      <c r="H27" s="6"/>
      <c r="I27" s="6"/>
      <c r="J27" s="6"/>
      <c r="K27" s="6"/>
      <c r="L27" s="6"/>
    </row>
    <row r="28" spans="1:12" ht="23.25" customHeight="1" x14ac:dyDescent="0.2">
      <c r="A28" s="7" t="s">
        <v>235</v>
      </c>
      <c r="B28" s="7" t="s">
        <v>2259</v>
      </c>
      <c r="C28" s="7" t="s">
        <v>2260</v>
      </c>
      <c r="D28" s="8"/>
      <c r="E28" s="8"/>
      <c r="F28" s="8"/>
      <c r="G28" s="7" t="s">
        <v>2668</v>
      </c>
      <c r="H28" s="7" t="s">
        <v>2707</v>
      </c>
      <c r="I28" s="7" t="s">
        <v>71</v>
      </c>
      <c r="J28" s="7" t="s">
        <v>72</v>
      </c>
      <c r="K28" s="7"/>
      <c r="L28" s="7"/>
    </row>
    <row r="29" spans="1:12" ht="34.5" customHeight="1" x14ac:dyDescent="0.2">
      <c r="A29" s="7" t="s">
        <v>241</v>
      </c>
      <c r="B29" s="7" t="s">
        <v>2261</v>
      </c>
      <c r="C29" s="7" t="s">
        <v>2262</v>
      </c>
      <c r="D29" s="8"/>
      <c r="E29" s="8"/>
      <c r="F29" s="8"/>
      <c r="G29" s="7" t="s">
        <v>2668</v>
      </c>
      <c r="H29" s="7" t="s">
        <v>2708</v>
      </c>
      <c r="I29" s="7" t="s">
        <v>71</v>
      </c>
      <c r="J29" s="7" t="s">
        <v>72</v>
      </c>
      <c r="K29" s="7"/>
      <c r="L29" s="7"/>
    </row>
    <row r="30" spans="1:12" ht="34.5" customHeight="1" x14ac:dyDescent="0.2">
      <c r="A30" s="7" t="s">
        <v>246</v>
      </c>
      <c r="B30" s="7" t="s">
        <v>2055</v>
      </c>
      <c r="C30" s="7" t="s">
        <v>2056</v>
      </c>
      <c r="D30" s="8"/>
      <c r="E30" s="8"/>
      <c r="F30" s="8"/>
      <c r="G30" s="7" t="s">
        <v>2668</v>
      </c>
      <c r="H30" s="7" t="s">
        <v>2709</v>
      </c>
      <c r="I30" s="7" t="s">
        <v>71</v>
      </c>
      <c r="J30" s="7" t="s">
        <v>72</v>
      </c>
      <c r="K30" s="7"/>
      <c r="L30" s="7"/>
    </row>
  </sheetData>
  <autoFilter ref="A3:L30" xr:uid="{00000000-0009-0000-0000-000010000000}"/>
  <conditionalFormatting sqref="J4:J30">
    <cfRule type="cellIs" dxfId="23" priority="2" operator="equal">
      <formula>"Implemented"</formula>
    </cfRule>
    <cfRule type="cellIs" dxfId="22" priority="3" operator="equal">
      <formula>"Verified"</formula>
    </cfRule>
    <cfRule type="cellIs" dxfId="21" priority="4" operator="equal">
      <formula>"In progress"</formula>
    </cfRule>
  </conditionalFormatting>
  <dataValidations count="2">
    <dataValidation type="list" allowBlank="1" sqref="I4:I30" xr:uid="{00000000-0002-0000-1000-000000000000}">
      <formula1>"Yes,No"</formula1>
      <formula2>0</formula2>
    </dataValidation>
    <dataValidation type="list" allowBlank="1" sqref="J4:J30" xr:uid="{00000000-0002-0000-1000-000001000000}">
      <formula1>"Not started,In progress,Implemented,Verified,Not applicable"</formula1>
      <formula2>0</formula2>
    </dataValidation>
  </dataValidations>
  <pageMargins left="0.75" right="0.75" top="1" bottom="1" header="0.511811023622047" footer="0.511811023622047"/>
  <pageSetup fitToHeight="0" orientation="landscape"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L37"/>
  <sheetViews>
    <sheetView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5" x14ac:dyDescent="0.2"/>
  <cols>
    <col min="1" max="1" width="9" customWidth="1"/>
    <col min="2" max="2" width="46" customWidth="1"/>
    <col min="3" max="3" width="64" customWidth="1"/>
    <col min="4" max="6" width="5" customWidth="1"/>
    <col min="7" max="7" width="54" customWidth="1"/>
    <col min="8" max="8" width="42" customWidth="1"/>
    <col min="9" max="9" width="12" customWidth="1"/>
    <col min="10" max="11" width="14" customWidth="1"/>
    <col min="12" max="12" width="26" customWidth="1"/>
  </cols>
  <sheetData>
    <row r="1" spans="1:12" ht="15.75" customHeight="1" x14ac:dyDescent="0.2">
      <c r="A1" s="33" t="s">
        <v>2710</v>
      </c>
    </row>
    <row r="3" spans="1:12" ht="15" customHeight="1" x14ac:dyDescent="0.2">
      <c r="A3" s="35" t="s">
        <v>48</v>
      </c>
      <c r="B3" s="35" t="s">
        <v>50</v>
      </c>
      <c r="C3" s="35" t="s">
        <v>173</v>
      </c>
      <c r="D3" s="35" t="s">
        <v>52</v>
      </c>
      <c r="E3" s="35" t="s">
        <v>53</v>
      </c>
      <c r="F3" s="35" t="s">
        <v>54</v>
      </c>
      <c r="G3" s="35" t="s">
        <v>999</v>
      </c>
      <c r="H3" s="35" t="s">
        <v>57</v>
      </c>
      <c r="I3" s="35" t="s">
        <v>545</v>
      </c>
      <c r="J3" s="35" t="s">
        <v>59</v>
      </c>
      <c r="K3" s="35" t="s">
        <v>60</v>
      </c>
      <c r="L3" s="35" t="s">
        <v>61</v>
      </c>
    </row>
    <row r="4" spans="1:12" ht="15" customHeight="1" x14ac:dyDescent="0.2">
      <c r="A4" s="6" t="s">
        <v>908</v>
      </c>
      <c r="B4" s="6" t="s">
        <v>2711</v>
      </c>
      <c r="C4" s="6"/>
      <c r="D4" s="6"/>
      <c r="E4" s="6"/>
      <c r="F4" s="6"/>
      <c r="G4" s="6"/>
      <c r="H4" s="6"/>
      <c r="I4" s="6"/>
      <c r="J4" s="6"/>
      <c r="K4" s="6"/>
      <c r="L4" s="6"/>
    </row>
    <row r="5" spans="1:12" ht="34.5" customHeight="1" x14ac:dyDescent="0.2">
      <c r="A5" s="7" t="s">
        <v>182</v>
      </c>
      <c r="B5" s="7" t="s">
        <v>2178</v>
      </c>
      <c r="C5" s="7" t="s">
        <v>2179</v>
      </c>
      <c r="D5" s="8"/>
      <c r="E5" s="8"/>
      <c r="F5" s="8"/>
      <c r="G5" s="7" t="s">
        <v>2712</v>
      </c>
      <c r="H5" s="7" t="s">
        <v>2713</v>
      </c>
      <c r="I5" s="7" t="s">
        <v>71</v>
      </c>
      <c r="J5" s="7" t="s">
        <v>72</v>
      </c>
      <c r="K5" s="7"/>
      <c r="L5" s="7"/>
    </row>
    <row r="6" spans="1:12" ht="34.5" customHeight="1" x14ac:dyDescent="0.2">
      <c r="A6" s="7" t="s">
        <v>187</v>
      </c>
      <c r="B6" s="7" t="s">
        <v>2443</v>
      </c>
      <c r="C6" s="7" t="s">
        <v>2444</v>
      </c>
      <c r="D6" s="8"/>
      <c r="E6" s="8"/>
      <c r="F6" s="8"/>
      <c r="G6" s="7" t="s">
        <v>2712</v>
      </c>
      <c r="H6" s="7" t="s">
        <v>2714</v>
      </c>
      <c r="I6" s="7" t="s">
        <v>71</v>
      </c>
      <c r="J6" s="7" t="s">
        <v>72</v>
      </c>
      <c r="K6" s="7"/>
      <c r="L6" s="7"/>
    </row>
    <row r="7" spans="1:12" ht="34.5" customHeight="1" x14ac:dyDescent="0.2">
      <c r="A7" s="7" t="s">
        <v>192</v>
      </c>
      <c r="B7" s="7" t="s">
        <v>2445</v>
      </c>
      <c r="C7" s="7" t="s">
        <v>2446</v>
      </c>
      <c r="D7" s="8"/>
      <c r="E7" s="8"/>
      <c r="F7" s="8"/>
      <c r="G7" s="7" t="s">
        <v>2712</v>
      </c>
      <c r="H7" s="7" t="s">
        <v>2715</v>
      </c>
      <c r="I7" s="7" t="s">
        <v>71</v>
      </c>
      <c r="J7" s="7" t="s">
        <v>72</v>
      </c>
      <c r="K7" s="7"/>
      <c r="L7" s="7"/>
    </row>
    <row r="8" spans="1:12" ht="23.25" customHeight="1" x14ac:dyDescent="0.2">
      <c r="A8" s="7" t="s">
        <v>1537</v>
      </c>
      <c r="B8" s="7" t="s">
        <v>2322</v>
      </c>
      <c r="C8" s="7" t="s">
        <v>2323</v>
      </c>
      <c r="D8" s="8"/>
      <c r="E8" s="8"/>
      <c r="F8" s="8"/>
      <c r="G8" s="7" t="s">
        <v>2712</v>
      </c>
      <c r="H8" s="7" t="s">
        <v>2716</v>
      </c>
      <c r="I8" s="7" t="s">
        <v>71</v>
      </c>
      <c r="J8" s="7" t="s">
        <v>72</v>
      </c>
      <c r="K8" s="7"/>
      <c r="L8" s="7"/>
    </row>
    <row r="9" spans="1:12" ht="34.5" customHeight="1" x14ac:dyDescent="0.2">
      <c r="A9" s="7" t="s">
        <v>1542</v>
      </c>
      <c r="B9" s="7" t="s">
        <v>2459</v>
      </c>
      <c r="C9" s="7" t="s">
        <v>2460</v>
      </c>
      <c r="D9" s="8"/>
      <c r="E9" s="8"/>
      <c r="F9" s="8"/>
      <c r="G9" s="7" t="s">
        <v>2712</v>
      </c>
      <c r="H9" s="7" t="s">
        <v>2717</v>
      </c>
      <c r="I9" s="7" t="s">
        <v>71</v>
      </c>
      <c r="J9" s="7" t="s">
        <v>72</v>
      </c>
      <c r="K9" s="7"/>
      <c r="L9" s="7"/>
    </row>
    <row r="10" spans="1:12" ht="23.25" customHeight="1" x14ac:dyDescent="0.2">
      <c r="A10" s="7" t="s">
        <v>1549</v>
      </c>
      <c r="B10" s="7" t="s">
        <v>2461</v>
      </c>
      <c r="C10" s="7" t="s">
        <v>2462</v>
      </c>
      <c r="D10" s="8"/>
      <c r="E10" s="8"/>
      <c r="F10" s="8"/>
      <c r="G10" s="7" t="s">
        <v>2712</v>
      </c>
      <c r="H10" s="7" t="s">
        <v>2718</v>
      </c>
      <c r="I10" s="7" t="s">
        <v>71</v>
      </c>
      <c r="J10" s="7" t="s">
        <v>72</v>
      </c>
      <c r="K10" s="7"/>
      <c r="L10" s="7"/>
    </row>
    <row r="11" spans="1:12" ht="23.25" customHeight="1" x14ac:dyDescent="0.2">
      <c r="A11" s="7" t="s">
        <v>1555</v>
      </c>
      <c r="B11" s="7" t="s">
        <v>2463</v>
      </c>
      <c r="C11" s="7" t="s">
        <v>2464</v>
      </c>
      <c r="D11" s="8"/>
      <c r="E11" s="8"/>
      <c r="F11" s="8"/>
      <c r="G11" s="7" t="s">
        <v>2712</v>
      </c>
      <c r="H11" s="7" t="s">
        <v>2719</v>
      </c>
      <c r="I11" s="7" t="s">
        <v>71</v>
      </c>
      <c r="J11" s="7" t="s">
        <v>72</v>
      </c>
      <c r="K11" s="7"/>
      <c r="L11" s="7"/>
    </row>
    <row r="12" spans="1:12" ht="34.5" customHeight="1" x14ac:dyDescent="0.2">
      <c r="A12" s="7" t="s">
        <v>2168</v>
      </c>
      <c r="B12" s="7" t="s">
        <v>2169</v>
      </c>
      <c r="C12" s="7" t="s">
        <v>2170</v>
      </c>
      <c r="D12" s="8"/>
      <c r="E12" s="8" t="s">
        <v>67</v>
      </c>
      <c r="F12" s="8"/>
      <c r="G12" s="7" t="s">
        <v>2720</v>
      </c>
      <c r="H12" s="7" t="s">
        <v>2721</v>
      </c>
      <c r="I12" s="7" t="s">
        <v>71</v>
      </c>
      <c r="J12" s="7" t="s">
        <v>72</v>
      </c>
      <c r="K12" s="7"/>
      <c r="L12" s="7"/>
    </row>
    <row r="13" spans="1:12" ht="15" customHeight="1" x14ac:dyDescent="0.2">
      <c r="A13" s="6" t="s">
        <v>915</v>
      </c>
      <c r="B13" s="6" t="s">
        <v>2722</v>
      </c>
      <c r="C13" s="6"/>
      <c r="D13" s="6"/>
      <c r="E13" s="6"/>
      <c r="F13" s="6"/>
      <c r="G13" s="6"/>
      <c r="H13" s="6"/>
      <c r="I13" s="6"/>
      <c r="J13" s="6"/>
      <c r="K13" s="6"/>
      <c r="L13" s="6"/>
    </row>
    <row r="14" spans="1:12" ht="23.25" customHeight="1" x14ac:dyDescent="0.2">
      <c r="A14" s="7" t="s">
        <v>203</v>
      </c>
      <c r="B14" s="7" t="s">
        <v>2465</v>
      </c>
      <c r="C14" s="7" t="s">
        <v>2466</v>
      </c>
      <c r="D14" s="8"/>
      <c r="E14" s="8"/>
      <c r="F14" s="8"/>
      <c r="G14" s="7" t="s">
        <v>2712</v>
      </c>
      <c r="H14" s="7" t="s">
        <v>2723</v>
      </c>
      <c r="I14" s="7" t="s">
        <v>71</v>
      </c>
      <c r="J14" s="7" t="s">
        <v>72</v>
      </c>
      <c r="K14" s="7"/>
      <c r="L14" s="7"/>
    </row>
    <row r="15" spans="1:12" ht="23.25" customHeight="1" x14ac:dyDescent="0.2">
      <c r="A15" s="7" t="s">
        <v>208</v>
      </c>
      <c r="B15" s="7" t="s">
        <v>2324</v>
      </c>
      <c r="C15" s="7" t="s">
        <v>2325</v>
      </c>
      <c r="D15" s="8"/>
      <c r="E15" s="8"/>
      <c r="F15" s="8"/>
      <c r="G15" s="7" t="s">
        <v>2712</v>
      </c>
      <c r="H15" s="7" t="s">
        <v>2724</v>
      </c>
      <c r="I15" s="7" t="s">
        <v>71</v>
      </c>
      <c r="J15" s="7" t="s">
        <v>72</v>
      </c>
      <c r="K15" s="7"/>
      <c r="L15" s="7"/>
    </row>
    <row r="16" spans="1:12" ht="23.25" customHeight="1" x14ac:dyDescent="0.2">
      <c r="A16" s="7" t="s">
        <v>926</v>
      </c>
      <c r="B16" s="7" t="s">
        <v>2142</v>
      </c>
      <c r="C16" s="7" t="s">
        <v>2143</v>
      </c>
      <c r="D16" s="8"/>
      <c r="E16" s="8"/>
      <c r="F16" s="8"/>
      <c r="G16" s="7" t="s">
        <v>2712</v>
      </c>
      <c r="H16" s="7" t="s">
        <v>2725</v>
      </c>
      <c r="I16" s="7" t="s">
        <v>71</v>
      </c>
      <c r="J16" s="7" t="s">
        <v>72</v>
      </c>
      <c r="K16" s="7"/>
      <c r="L16" s="7"/>
    </row>
    <row r="17" spans="1:12" ht="34.5" customHeight="1" x14ac:dyDescent="0.2">
      <c r="A17" s="7" t="s">
        <v>930</v>
      </c>
      <c r="B17" s="7" t="s">
        <v>2057</v>
      </c>
      <c r="C17" s="7" t="s">
        <v>2058</v>
      </c>
      <c r="D17" s="8"/>
      <c r="E17" s="8"/>
      <c r="F17" s="8"/>
      <c r="G17" s="7" t="s">
        <v>2712</v>
      </c>
      <c r="H17" s="7" t="s">
        <v>2726</v>
      </c>
      <c r="I17" s="7" t="s">
        <v>71</v>
      </c>
      <c r="J17" s="7" t="s">
        <v>72</v>
      </c>
      <c r="K17" s="7"/>
      <c r="L17" s="7"/>
    </row>
    <row r="18" spans="1:12" ht="34.5" customHeight="1" x14ac:dyDescent="0.2">
      <c r="A18" s="7" t="s">
        <v>934</v>
      </c>
      <c r="B18" s="7" t="s">
        <v>2151</v>
      </c>
      <c r="C18" s="7" t="s">
        <v>2152</v>
      </c>
      <c r="D18" s="8" t="s">
        <v>67</v>
      </c>
      <c r="E18" s="8" t="s">
        <v>67</v>
      </c>
      <c r="F18" s="8" t="s">
        <v>67</v>
      </c>
      <c r="G18" s="7" t="s">
        <v>2727</v>
      </c>
      <c r="H18" s="7" t="s">
        <v>2728</v>
      </c>
      <c r="I18" s="7" t="s">
        <v>71</v>
      </c>
      <c r="J18" s="7" t="s">
        <v>72</v>
      </c>
      <c r="K18" s="7"/>
      <c r="L18" s="7"/>
    </row>
    <row r="19" spans="1:12" ht="15" customHeight="1" x14ac:dyDescent="0.2">
      <c r="A19" s="6" t="s">
        <v>959</v>
      </c>
      <c r="B19" s="6" t="s">
        <v>2729</v>
      </c>
      <c r="C19" s="6"/>
      <c r="D19" s="6"/>
      <c r="E19" s="6"/>
      <c r="F19" s="6"/>
      <c r="G19" s="6"/>
      <c r="H19" s="6"/>
      <c r="I19" s="6"/>
      <c r="J19" s="6"/>
      <c r="K19" s="6"/>
      <c r="L19" s="6"/>
    </row>
    <row r="20" spans="1:12" ht="23.25" customHeight="1" x14ac:dyDescent="0.2">
      <c r="A20" s="7" t="s">
        <v>225</v>
      </c>
      <c r="B20" s="7" t="s">
        <v>2425</v>
      </c>
      <c r="C20" s="7" t="s">
        <v>2426</v>
      </c>
      <c r="D20" s="8" t="s">
        <v>67</v>
      </c>
      <c r="E20" s="8"/>
      <c r="F20" s="8"/>
      <c r="G20" s="7" t="s">
        <v>2730</v>
      </c>
      <c r="H20" s="7" t="s">
        <v>2731</v>
      </c>
      <c r="I20" s="7" t="s">
        <v>71</v>
      </c>
      <c r="J20" s="7" t="s">
        <v>72</v>
      </c>
      <c r="K20" s="7"/>
      <c r="L20" s="7"/>
    </row>
    <row r="21" spans="1:12" ht="23.25" customHeight="1" x14ac:dyDescent="0.2">
      <c r="A21" s="7" t="s">
        <v>230</v>
      </c>
      <c r="B21" s="7" t="s">
        <v>2185</v>
      </c>
      <c r="C21" s="7" t="s">
        <v>2186</v>
      </c>
      <c r="D21" s="8" t="s">
        <v>67</v>
      </c>
      <c r="E21" s="8"/>
      <c r="F21" s="8"/>
      <c r="G21" s="7" t="s">
        <v>2732</v>
      </c>
      <c r="H21" s="7" t="s">
        <v>2733</v>
      </c>
      <c r="I21" s="7" t="s">
        <v>71</v>
      </c>
      <c r="J21" s="7" t="s">
        <v>72</v>
      </c>
      <c r="K21" s="7"/>
      <c r="L21" s="7"/>
    </row>
    <row r="22" spans="1:12" ht="23.25" customHeight="1" x14ac:dyDescent="0.2">
      <c r="A22" s="7" t="s">
        <v>972</v>
      </c>
      <c r="B22" s="7" t="s">
        <v>2195</v>
      </c>
      <c r="C22" s="7" t="s">
        <v>2196</v>
      </c>
      <c r="D22" s="8"/>
      <c r="E22" s="8"/>
      <c r="F22" s="8"/>
      <c r="G22" s="7" t="s">
        <v>2712</v>
      </c>
      <c r="H22" s="7" t="s">
        <v>2734</v>
      </c>
      <c r="I22" s="7" t="s">
        <v>71</v>
      </c>
      <c r="J22" s="7" t="s">
        <v>72</v>
      </c>
      <c r="K22" s="7"/>
      <c r="L22" s="7"/>
    </row>
    <row r="23" spans="1:12" ht="23.25" customHeight="1" x14ac:dyDescent="0.2">
      <c r="A23" s="7" t="s">
        <v>976</v>
      </c>
      <c r="B23" s="7" t="s">
        <v>2130</v>
      </c>
      <c r="C23" s="7" t="s">
        <v>2131</v>
      </c>
      <c r="D23" s="8" t="s">
        <v>67</v>
      </c>
      <c r="E23" s="8"/>
      <c r="F23" s="8"/>
      <c r="G23" s="7" t="s">
        <v>2735</v>
      </c>
      <c r="H23" s="7" t="s">
        <v>2736</v>
      </c>
      <c r="I23" s="7" t="s">
        <v>71</v>
      </c>
      <c r="J23" s="7" t="s">
        <v>72</v>
      </c>
      <c r="K23" s="7"/>
      <c r="L23" s="7"/>
    </row>
    <row r="24" spans="1:12" ht="34.5" customHeight="1" x14ac:dyDescent="0.2">
      <c r="A24" s="7" t="s">
        <v>1261</v>
      </c>
      <c r="B24" s="7" t="s">
        <v>2197</v>
      </c>
      <c r="C24" s="7" t="s">
        <v>2198</v>
      </c>
      <c r="D24" s="8" t="s">
        <v>67</v>
      </c>
      <c r="E24" s="8" t="s">
        <v>67</v>
      </c>
      <c r="F24" s="8" t="s">
        <v>67</v>
      </c>
      <c r="G24" s="7" t="s">
        <v>2737</v>
      </c>
      <c r="H24" s="7" t="s">
        <v>2738</v>
      </c>
      <c r="I24" s="7" t="s">
        <v>71</v>
      </c>
      <c r="J24" s="7" t="s">
        <v>72</v>
      </c>
      <c r="K24" s="7"/>
      <c r="L24" s="7"/>
    </row>
    <row r="25" spans="1:12" ht="15" customHeight="1" x14ac:dyDescent="0.2">
      <c r="A25" s="6" t="s">
        <v>1585</v>
      </c>
      <c r="B25" s="6" t="s">
        <v>2739</v>
      </c>
      <c r="C25" s="6"/>
      <c r="D25" s="6"/>
      <c r="E25" s="6"/>
      <c r="F25" s="6"/>
      <c r="G25" s="6"/>
      <c r="H25" s="6"/>
      <c r="I25" s="6"/>
      <c r="J25" s="6"/>
      <c r="K25" s="6"/>
      <c r="L25" s="6"/>
    </row>
    <row r="26" spans="1:12" ht="34.5" customHeight="1" x14ac:dyDescent="0.2">
      <c r="A26" s="7" t="s">
        <v>241</v>
      </c>
      <c r="B26" s="7" t="s">
        <v>2059</v>
      </c>
      <c r="C26" s="7" t="s">
        <v>2060</v>
      </c>
      <c r="D26" s="8"/>
      <c r="E26" s="8"/>
      <c r="F26" s="8"/>
      <c r="G26" s="7" t="s">
        <v>2712</v>
      </c>
      <c r="H26" s="7" t="s">
        <v>2740</v>
      </c>
      <c r="I26" s="7" t="s">
        <v>71</v>
      </c>
      <c r="J26" s="7" t="s">
        <v>72</v>
      </c>
      <c r="K26" s="7"/>
      <c r="L26" s="7"/>
    </row>
    <row r="27" spans="1:12" ht="23.25" customHeight="1" x14ac:dyDescent="0.2">
      <c r="A27" s="7" t="s">
        <v>246</v>
      </c>
      <c r="B27" s="7" t="s">
        <v>2467</v>
      </c>
      <c r="C27" s="7" t="s">
        <v>2468</v>
      </c>
      <c r="D27" s="8" t="s">
        <v>67</v>
      </c>
      <c r="E27" s="8"/>
      <c r="F27" s="8"/>
      <c r="G27" s="7" t="s">
        <v>2741</v>
      </c>
      <c r="H27" s="7" t="s">
        <v>2742</v>
      </c>
      <c r="I27" s="7" t="s">
        <v>71</v>
      </c>
      <c r="J27" s="7" t="s">
        <v>72</v>
      </c>
      <c r="K27" s="7"/>
      <c r="L27" s="7"/>
    </row>
    <row r="28" spans="1:12" ht="23.25" customHeight="1" x14ac:dyDescent="0.2">
      <c r="A28" s="7" t="s">
        <v>251</v>
      </c>
      <c r="B28" s="7" t="s">
        <v>2469</v>
      </c>
      <c r="C28" s="7" t="s">
        <v>2470</v>
      </c>
      <c r="D28" s="8" t="s">
        <v>67</v>
      </c>
      <c r="E28" s="8"/>
      <c r="F28" s="8"/>
      <c r="G28" s="7" t="s">
        <v>2743</v>
      </c>
      <c r="H28" s="7" t="s">
        <v>2744</v>
      </c>
      <c r="I28" s="7" t="s">
        <v>71</v>
      </c>
      <c r="J28" s="7" t="s">
        <v>72</v>
      </c>
      <c r="K28" s="7"/>
      <c r="L28" s="7"/>
    </row>
    <row r="29" spans="1:12" ht="23.25" customHeight="1" x14ac:dyDescent="0.2">
      <c r="A29" s="7" t="s">
        <v>1294</v>
      </c>
      <c r="B29" s="7" t="s">
        <v>2471</v>
      </c>
      <c r="C29" s="7" t="s">
        <v>2472</v>
      </c>
      <c r="D29" s="8" t="s">
        <v>67</v>
      </c>
      <c r="E29" s="8" t="s">
        <v>67</v>
      </c>
      <c r="F29" s="8"/>
      <c r="G29" s="7" t="s">
        <v>2745</v>
      </c>
      <c r="H29" s="7" t="s">
        <v>2746</v>
      </c>
      <c r="I29" s="7" t="s">
        <v>71</v>
      </c>
      <c r="J29" s="7" t="s">
        <v>72</v>
      </c>
      <c r="K29" s="7"/>
      <c r="L29" s="7"/>
    </row>
    <row r="30" spans="1:12" ht="23.25" customHeight="1" x14ac:dyDescent="0.2">
      <c r="A30" s="7" t="s">
        <v>1299</v>
      </c>
      <c r="B30" s="7" t="s">
        <v>2473</v>
      </c>
      <c r="C30" s="7" t="s">
        <v>2474</v>
      </c>
      <c r="D30" s="8"/>
      <c r="E30" s="8" t="s">
        <v>67</v>
      </c>
      <c r="F30" s="8"/>
      <c r="G30" s="7" t="s">
        <v>2747</v>
      </c>
      <c r="H30" s="7" t="s">
        <v>2748</v>
      </c>
      <c r="I30" s="7" t="s">
        <v>71</v>
      </c>
      <c r="J30" s="7" t="s">
        <v>72</v>
      </c>
      <c r="K30" s="7"/>
      <c r="L30" s="7"/>
    </row>
    <row r="31" spans="1:12" ht="34.5" customHeight="1" x14ac:dyDescent="0.2">
      <c r="A31" s="7" t="s">
        <v>1304</v>
      </c>
      <c r="B31" s="7" t="s">
        <v>2132</v>
      </c>
      <c r="C31" s="7" t="s">
        <v>2133</v>
      </c>
      <c r="D31" s="8" t="s">
        <v>67</v>
      </c>
      <c r="E31" s="8" t="s">
        <v>67</v>
      </c>
      <c r="F31" s="8" t="s">
        <v>67</v>
      </c>
      <c r="G31" s="7" t="s">
        <v>2749</v>
      </c>
      <c r="H31" s="7" t="s">
        <v>2750</v>
      </c>
      <c r="I31" s="7" t="s">
        <v>71</v>
      </c>
      <c r="J31" s="7" t="s">
        <v>72</v>
      </c>
      <c r="K31" s="7"/>
      <c r="L31" s="7"/>
    </row>
    <row r="32" spans="1:12" ht="34.5" customHeight="1" x14ac:dyDescent="0.2">
      <c r="A32" s="7" t="s">
        <v>1309</v>
      </c>
      <c r="B32" s="7" t="s">
        <v>2153</v>
      </c>
      <c r="C32" s="7" t="s">
        <v>2154</v>
      </c>
      <c r="D32" s="8" t="s">
        <v>67</v>
      </c>
      <c r="E32" s="8" t="s">
        <v>67</v>
      </c>
      <c r="F32" s="8" t="s">
        <v>67</v>
      </c>
      <c r="G32" s="7" t="s">
        <v>2751</v>
      </c>
      <c r="H32" s="7" t="s">
        <v>2752</v>
      </c>
      <c r="I32" s="7" t="s">
        <v>71</v>
      </c>
      <c r="J32" s="7" t="s">
        <v>72</v>
      </c>
      <c r="K32" s="7"/>
      <c r="L32" s="7"/>
    </row>
    <row r="33" spans="1:12" ht="34.5" customHeight="1" x14ac:dyDescent="0.2">
      <c r="A33" s="7" t="s">
        <v>1314</v>
      </c>
      <c r="B33" s="7" t="s">
        <v>2187</v>
      </c>
      <c r="C33" s="7" t="s">
        <v>2188</v>
      </c>
      <c r="D33" s="8" t="s">
        <v>67</v>
      </c>
      <c r="E33" s="8" t="s">
        <v>67</v>
      </c>
      <c r="F33" s="8" t="s">
        <v>67</v>
      </c>
      <c r="G33" s="7" t="s">
        <v>2753</v>
      </c>
      <c r="H33" s="7" t="s">
        <v>2754</v>
      </c>
      <c r="I33" s="7" t="s">
        <v>71</v>
      </c>
      <c r="J33" s="7" t="s">
        <v>72</v>
      </c>
      <c r="K33" s="7"/>
      <c r="L33" s="7"/>
    </row>
    <row r="34" spans="1:12" ht="15" customHeight="1" x14ac:dyDescent="0.2">
      <c r="A34" s="6" t="s">
        <v>1612</v>
      </c>
      <c r="B34" s="6" t="s">
        <v>2755</v>
      </c>
      <c r="C34" s="6"/>
      <c r="D34" s="6"/>
      <c r="E34" s="6"/>
      <c r="F34" s="6"/>
      <c r="G34" s="6"/>
      <c r="H34" s="6"/>
      <c r="I34" s="6"/>
      <c r="J34" s="6"/>
      <c r="K34" s="6"/>
      <c r="L34" s="6"/>
    </row>
    <row r="35" spans="1:12" ht="34.5" customHeight="1" x14ac:dyDescent="0.2">
      <c r="A35" s="7" t="s">
        <v>84</v>
      </c>
      <c r="B35" s="7" t="s">
        <v>2475</v>
      </c>
      <c r="C35" s="7" t="s">
        <v>2476</v>
      </c>
      <c r="D35" s="8" t="s">
        <v>67</v>
      </c>
      <c r="E35" s="8"/>
      <c r="F35" s="8"/>
      <c r="G35" s="7" t="s">
        <v>2756</v>
      </c>
      <c r="H35" s="7" t="s">
        <v>2757</v>
      </c>
      <c r="I35" s="7" t="s">
        <v>71</v>
      </c>
      <c r="J35" s="7" t="s">
        <v>72</v>
      </c>
      <c r="K35" s="7"/>
      <c r="L35" s="7"/>
    </row>
    <row r="36" spans="1:12" ht="15" customHeight="1" x14ac:dyDescent="0.2">
      <c r="A36" s="6" t="s">
        <v>2758</v>
      </c>
      <c r="B36" s="6" t="s">
        <v>2759</v>
      </c>
      <c r="C36" s="6"/>
      <c r="D36" s="6"/>
      <c r="E36" s="6"/>
      <c r="F36" s="6"/>
      <c r="G36" s="6"/>
      <c r="H36" s="6"/>
      <c r="I36" s="6"/>
      <c r="J36" s="6"/>
      <c r="K36" s="6"/>
      <c r="L36" s="6"/>
    </row>
    <row r="37" spans="1:12" ht="34.5" customHeight="1" x14ac:dyDescent="0.2">
      <c r="A37" s="7" t="s">
        <v>2477</v>
      </c>
      <c r="B37" s="7" t="s">
        <v>2478</v>
      </c>
      <c r="C37" s="7" t="s">
        <v>2479</v>
      </c>
      <c r="D37" s="8"/>
      <c r="E37" s="8"/>
      <c r="F37" s="8"/>
      <c r="G37" s="7" t="s">
        <v>2712</v>
      </c>
      <c r="H37" s="7" t="s">
        <v>2760</v>
      </c>
      <c r="I37" s="7" t="s">
        <v>71</v>
      </c>
      <c r="J37" s="7" t="s">
        <v>72</v>
      </c>
      <c r="K37" s="7"/>
      <c r="L37" s="7"/>
    </row>
  </sheetData>
  <autoFilter ref="A3:L37" xr:uid="{00000000-0009-0000-0000-000011000000}"/>
  <conditionalFormatting sqref="J4:J37">
    <cfRule type="cellIs" dxfId="20" priority="2" operator="equal">
      <formula>"Implemented"</formula>
    </cfRule>
    <cfRule type="cellIs" dxfId="19" priority="3" operator="equal">
      <formula>"Verified"</formula>
    </cfRule>
    <cfRule type="cellIs" dxfId="18" priority="4" operator="equal">
      <formula>"In progress"</formula>
    </cfRule>
  </conditionalFormatting>
  <dataValidations count="2">
    <dataValidation type="list" allowBlank="1" sqref="I4:I37" xr:uid="{00000000-0002-0000-1100-000000000000}">
      <formula1>"Yes,No"</formula1>
      <formula2>0</formula2>
    </dataValidation>
    <dataValidation type="list" allowBlank="1" sqref="J4:J37" xr:uid="{00000000-0002-0000-1100-000001000000}">
      <formula1>"Not started,In progress,Implemented,Verified,Not applicable"</formula1>
      <formula2>0</formula2>
    </dataValidation>
  </dataValidations>
  <pageMargins left="0.75" right="0.75" top="1" bottom="1" header="0.511811023622047" footer="0.511811023622047"/>
  <pageSetup fitToHeight="0" orientation="landscape"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L40"/>
  <sheetViews>
    <sheetView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5" x14ac:dyDescent="0.2"/>
  <cols>
    <col min="1" max="1" width="11" customWidth="1"/>
    <col min="2" max="2" width="42" customWidth="1"/>
    <col min="3" max="3" width="66" customWidth="1"/>
    <col min="4" max="6" width="5" customWidth="1"/>
    <col min="7" max="7" width="54" customWidth="1"/>
    <col min="8" max="8" width="40" customWidth="1"/>
    <col min="9" max="9" width="12" customWidth="1"/>
    <col min="10" max="11" width="14" customWidth="1"/>
    <col min="12" max="12" width="26" customWidth="1"/>
  </cols>
  <sheetData>
    <row r="1" spans="1:12" ht="15.75" customHeight="1" x14ac:dyDescent="0.2">
      <c r="A1" s="33" t="s">
        <v>2761</v>
      </c>
    </row>
    <row r="3" spans="1:12" ht="15" customHeight="1" x14ac:dyDescent="0.2">
      <c r="A3" s="36" t="s">
        <v>1747</v>
      </c>
      <c r="B3" s="36" t="s">
        <v>50</v>
      </c>
      <c r="C3" s="36" t="s">
        <v>173</v>
      </c>
      <c r="D3" s="36" t="s">
        <v>52</v>
      </c>
      <c r="E3" s="36" t="s">
        <v>53</v>
      </c>
      <c r="F3" s="36" t="s">
        <v>54</v>
      </c>
      <c r="G3" s="36" t="s">
        <v>999</v>
      </c>
      <c r="H3" s="36" t="s">
        <v>57</v>
      </c>
      <c r="I3" s="36" t="s">
        <v>545</v>
      </c>
      <c r="J3" s="36" t="s">
        <v>59</v>
      </c>
      <c r="K3" s="36" t="s">
        <v>60</v>
      </c>
      <c r="L3" s="36" t="s">
        <v>61</v>
      </c>
    </row>
    <row r="4" spans="1:12" ht="15" customHeight="1" x14ac:dyDescent="0.2">
      <c r="A4" s="6" t="s">
        <v>546</v>
      </c>
      <c r="B4" s="6" t="s">
        <v>547</v>
      </c>
      <c r="C4" s="6"/>
      <c r="D4" s="6"/>
      <c r="E4" s="6"/>
      <c r="F4" s="6"/>
      <c r="G4" s="6"/>
      <c r="H4" s="6"/>
      <c r="I4" s="6"/>
      <c r="J4" s="6"/>
      <c r="K4" s="6"/>
      <c r="L4" s="6"/>
    </row>
    <row r="5" spans="1:12" ht="57" customHeight="1" x14ac:dyDescent="0.2">
      <c r="A5" s="7" t="s">
        <v>548</v>
      </c>
      <c r="B5" s="7" t="s">
        <v>549</v>
      </c>
      <c r="C5" s="7" t="s">
        <v>2762</v>
      </c>
      <c r="D5" s="8"/>
      <c r="E5" s="8"/>
      <c r="F5" s="8"/>
      <c r="G5" s="7" t="s">
        <v>2763</v>
      </c>
      <c r="H5" s="7" t="s">
        <v>553</v>
      </c>
      <c r="I5" s="7" t="s">
        <v>71</v>
      </c>
      <c r="J5" s="7" t="s">
        <v>72</v>
      </c>
      <c r="K5" s="7"/>
      <c r="L5" s="7"/>
    </row>
    <row r="6" spans="1:12" ht="34.5" customHeight="1" x14ac:dyDescent="0.2">
      <c r="A6" s="7" t="s">
        <v>559</v>
      </c>
      <c r="B6" s="7" t="s">
        <v>2481</v>
      </c>
      <c r="C6" s="7" t="s">
        <v>2482</v>
      </c>
      <c r="D6" s="8"/>
      <c r="E6" s="8"/>
      <c r="F6" s="8"/>
      <c r="G6" s="7" t="s">
        <v>2763</v>
      </c>
      <c r="H6" s="7" t="s">
        <v>2764</v>
      </c>
      <c r="I6" s="7" t="s">
        <v>71</v>
      </c>
      <c r="J6" s="7" t="s">
        <v>72</v>
      </c>
      <c r="K6" s="7"/>
      <c r="L6" s="7"/>
    </row>
    <row r="7" spans="1:12" ht="15" customHeight="1" x14ac:dyDescent="0.2">
      <c r="A7" s="6" t="s">
        <v>564</v>
      </c>
      <c r="B7" s="6" t="s">
        <v>2765</v>
      </c>
      <c r="C7" s="6"/>
      <c r="D7" s="6"/>
      <c r="E7" s="6"/>
      <c r="F7" s="6"/>
      <c r="G7" s="6"/>
      <c r="H7" s="6"/>
      <c r="I7" s="6"/>
      <c r="J7" s="6"/>
      <c r="K7" s="6"/>
      <c r="L7" s="6"/>
    </row>
    <row r="8" spans="1:12" ht="57" customHeight="1" x14ac:dyDescent="0.2">
      <c r="A8" s="7" t="s">
        <v>566</v>
      </c>
      <c r="B8" s="7" t="s">
        <v>2368</v>
      </c>
      <c r="C8" s="7" t="s">
        <v>2766</v>
      </c>
      <c r="D8" s="8"/>
      <c r="E8" s="8"/>
      <c r="F8" s="8"/>
      <c r="G8" s="7" t="s">
        <v>2763</v>
      </c>
      <c r="H8" s="7" t="s">
        <v>2767</v>
      </c>
      <c r="I8" s="7" t="s">
        <v>71</v>
      </c>
      <c r="J8" s="7" t="s">
        <v>72</v>
      </c>
      <c r="K8" s="7"/>
      <c r="L8" s="7"/>
    </row>
    <row r="9" spans="1:12" ht="45.75" customHeight="1" x14ac:dyDescent="0.2">
      <c r="A9" s="7" t="s">
        <v>573</v>
      </c>
      <c r="B9" s="7" t="s">
        <v>2370</v>
      </c>
      <c r="C9" s="7" t="s">
        <v>2768</v>
      </c>
      <c r="D9" s="8" t="s">
        <v>67</v>
      </c>
      <c r="E9" s="8" t="s">
        <v>67</v>
      </c>
      <c r="F9" s="8" t="s">
        <v>67</v>
      </c>
      <c r="G9" s="7" t="s">
        <v>2769</v>
      </c>
      <c r="H9" s="7" t="s">
        <v>2770</v>
      </c>
      <c r="I9" s="7" t="s">
        <v>71</v>
      </c>
      <c r="J9" s="7" t="s">
        <v>72</v>
      </c>
      <c r="K9" s="7"/>
      <c r="L9" s="7"/>
    </row>
    <row r="10" spans="1:12" ht="34.5" customHeight="1" x14ac:dyDescent="0.2">
      <c r="A10" s="7" t="s">
        <v>578</v>
      </c>
      <c r="B10" s="7" t="s">
        <v>2372</v>
      </c>
      <c r="C10" s="7" t="s">
        <v>2373</v>
      </c>
      <c r="D10" s="8" t="s">
        <v>67</v>
      </c>
      <c r="E10" s="8" t="s">
        <v>67</v>
      </c>
      <c r="F10" s="8" t="s">
        <v>67</v>
      </c>
      <c r="G10" s="7" t="s">
        <v>2771</v>
      </c>
      <c r="H10" s="7" t="s">
        <v>2772</v>
      </c>
      <c r="I10" s="7" t="s">
        <v>71</v>
      </c>
      <c r="J10" s="7" t="s">
        <v>72</v>
      </c>
      <c r="K10" s="7"/>
      <c r="L10" s="7"/>
    </row>
    <row r="11" spans="1:12" ht="34.5" customHeight="1" x14ac:dyDescent="0.2">
      <c r="A11" s="7" t="s">
        <v>585</v>
      </c>
      <c r="B11" s="7" t="s">
        <v>2483</v>
      </c>
      <c r="C11" s="7" t="s">
        <v>2484</v>
      </c>
      <c r="D11" s="8" t="s">
        <v>67</v>
      </c>
      <c r="E11" s="8" t="s">
        <v>67</v>
      </c>
      <c r="F11" s="8" t="s">
        <v>67</v>
      </c>
      <c r="G11" s="7" t="s">
        <v>2773</v>
      </c>
      <c r="H11" s="7" t="s">
        <v>2774</v>
      </c>
      <c r="I11" s="7" t="s">
        <v>71</v>
      </c>
      <c r="J11" s="7" t="s">
        <v>72</v>
      </c>
      <c r="K11" s="7"/>
      <c r="L11" s="7"/>
    </row>
    <row r="12" spans="1:12" ht="45.75" customHeight="1" x14ac:dyDescent="0.2">
      <c r="A12" s="7" t="s">
        <v>590</v>
      </c>
      <c r="B12" s="7" t="s">
        <v>2087</v>
      </c>
      <c r="C12" s="7" t="s">
        <v>2775</v>
      </c>
      <c r="D12" s="8" t="s">
        <v>67</v>
      </c>
      <c r="E12" s="8" t="s">
        <v>67</v>
      </c>
      <c r="F12" s="8" t="s">
        <v>67</v>
      </c>
      <c r="G12" s="7" t="s">
        <v>2776</v>
      </c>
      <c r="H12" s="7" t="s">
        <v>2777</v>
      </c>
      <c r="I12" s="7" t="s">
        <v>71</v>
      </c>
      <c r="J12" s="7" t="s">
        <v>72</v>
      </c>
      <c r="K12" s="7"/>
      <c r="L12" s="7"/>
    </row>
    <row r="13" spans="1:12" ht="34.5" customHeight="1" x14ac:dyDescent="0.2">
      <c r="A13" s="7" t="s">
        <v>596</v>
      </c>
      <c r="B13" s="7" t="s">
        <v>2134</v>
      </c>
      <c r="C13" s="7" t="s">
        <v>2135</v>
      </c>
      <c r="D13" s="8" t="s">
        <v>67</v>
      </c>
      <c r="E13" s="8" t="s">
        <v>67</v>
      </c>
      <c r="F13" s="8" t="s">
        <v>67</v>
      </c>
      <c r="G13" s="7" t="s">
        <v>2778</v>
      </c>
      <c r="H13" s="7" t="s">
        <v>2779</v>
      </c>
      <c r="I13" s="7" t="s">
        <v>71</v>
      </c>
      <c r="J13" s="7" t="s">
        <v>72</v>
      </c>
      <c r="K13" s="7"/>
      <c r="L13" s="7"/>
    </row>
    <row r="14" spans="1:12" ht="45.75" customHeight="1" x14ac:dyDescent="0.2">
      <c r="A14" s="7" t="s">
        <v>602</v>
      </c>
      <c r="B14" s="7" t="s">
        <v>2432</v>
      </c>
      <c r="C14" s="7" t="s">
        <v>2780</v>
      </c>
      <c r="D14" s="8"/>
      <c r="E14" s="8"/>
      <c r="F14" s="8" t="s">
        <v>67</v>
      </c>
      <c r="G14" s="7" t="s">
        <v>2781</v>
      </c>
      <c r="H14" s="7" t="s">
        <v>2782</v>
      </c>
      <c r="I14" s="7" t="s">
        <v>71</v>
      </c>
      <c r="J14" s="7" t="s">
        <v>72</v>
      </c>
      <c r="K14" s="7"/>
      <c r="L14" s="7"/>
    </row>
    <row r="15" spans="1:12" ht="45.75" customHeight="1" x14ac:dyDescent="0.2">
      <c r="A15" s="7" t="s">
        <v>607</v>
      </c>
      <c r="B15" s="7" t="s">
        <v>2374</v>
      </c>
      <c r="C15" s="7" t="s">
        <v>2783</v>
      </c>
      <c r="D15" s="8"/>
      <c r="E15" s="8" t="s">
        <v>67</v>
      </c>
      <c r="F15" s="8" t="s">
        <v>67</v>
      </c>
      <c r="G15" s="7" t="s">
        <v>2784</v>
      </c>
      <c r="H15" s="7" t="s">
        <v>2785</v>
      </c>
      <c r="I15" s="7" t="s">
        <v>71</v>
      </c>
      <c r="J15" s="7" t="s">
        <v>72</v>
      </c>
      <c r="K15" s="7"/>
      <c r="L15" s="7"/>
    </row>
    <row r="16" spans="1:12" ht="45.75" customHeight="1" x14ac:dyDescent="0.2">
      <c r="A16" s="7" t="s">
        <v>613</v>
      </c>
      <c r="B16" s="7" t="s">
        <v>2155</v>
      </c>
      <c r="C16" s="7" t="s">
        <v>2786</v>
      </c>
      <c r="D16" s="8" t="s">
        <v>67</v>
      </c>
      <c r="E16" s="8" t="s">
        <v>67</v>
      </c>
      <c r="F16" s="8" t="s">
        <v>67</v>
      </c>
      <c r="G16" s="7" t="s">
        <v>2787</v>
      </c>
      <c r="H16" s="7" t="s">
        <v>2788</v>
      </c>
      <c r="I16" s="7" t="s">
        <v>71</v>
      </c>
      <c r="J16" s="7" t="s">
        <v>72</v>
      </c>
      <c r="K16" s="7"/>
      <c r="L16" s="7"/>
    </row>
    <row r="17" spans="1:12" ht="34.5" customHeight="1" x14ac:dyDescent="0.2">
      <c r="A17" s="7" t="s">
        <v>618</v>
      </c>
      <c r="B17" s="7" t="s">
        <v>252</v>
      </c>
      <c r="C17" s="7" t="s">
        <v>2157</v>
      </c>
      <c r="D17" s="8"/>
      <c r="E17" s="8"/>
      <c r="F17" s="8"/>
      <c r="G17" s="7" t="s">
        <v>2763</v>
      </c>
      <c r="H17" s="7" t="s">
        <v>2789</v>
      </c>
      <c r="I17" s="7" t="s">
        <v>71</v>
      </c>
      <c r="J17" s="7" t="s">
        <v>72</v>
      </c>
      <c r="K17" s="7"/>
      <c r="L17" s="7"/>
    </row>
    <row r="18" spans="1:12" ht="34.5" customHeight="1" x14ac:dyDescent="0.2">
      <c r="A18" s="7" t="s">
        <v>631</v>
      </c>
      <c r="B18" s="7" t="s">
        <v>2376</v>
      </c>
      <c r="C18" s="7" t="s">
        <v>2377</v>
      </c>
      <c r="D18" s="8"/>
      <c r="E18" s="8"/>
      <c r="F18" s="8"/>
      <c r="G18" s="7" t="s">
        <v>2763</v>
      </c>
      <c r="H18" s="7" t="s">
        <v>2790</v>
      </c>
      <c r="I18" s="7" t="s">
        <v>71</v>
      </c>
      <c r="J18" s="7" t="s">
        <v>72</v>
      </c>
      <c r="K18" s="7"/>
      <c r="L18" s="7"/>
    </row>
    <row r="19" spans="1:12" ht="15" customHeight="1" x14ac:dyDescent="0.2">
      <c r="A19" s="6" t="s">
        <v>1779</v>
      </c>
      <c r="B19" s="6" t="s">
        <v>2791</v>
      </c>
      <c r="C19" s="6"/>
      <c r="D19" s="6"/>
      <c r="E19" s="6"/>
      <c r="F19" s="6"/>
      <c r="G19" s="6"/>
      <c r="H19" s="6"/>
      <c r="I19" s="6"/>
      <c r="J19" s="6"/>
      <c r="K19" s="6"/>
      <c r="L19" s="6"/>
    </row>
    <row r="20" spans="1:12" ht="45.75" customHeight="1" x14ac:dyDescent="0.2">
      <c r="A20" s="7" t="s">
        <v>636</v>
      </c>
      <c r="B20" s="7" t="s">
        <v>2158</v>
      </c>
      <c r="C20" s="7" t="s">
        <v>2159</v>
      </c>
      <c r="D20" s="8" t="s">
        <v>67</v>
      </c>
      <c r="E20" s="8" t="s">
        <v>67</v>
      </c>
      <c r="F20" s="8" t="s">
        <v>67</v>
      </c>
      <c r="G20" s="7" t="s">
        <v>2792</v>
      </c>
      <c r="H20" s="7" t="s">
        <v>2793</v>
      </c>
      <c r="I20" s="7" t="s">
        <v>71</v>
      </c>
      <c r="J20" s="7" t="s">
        <v>72</v>
      </c>
      <c r="K20" s="7"/>
      <c r="L20" s="7"/>
    </row>
    <row r="21" spans="1:12" ht="34.5" customHeight="1" x14ac:dyDescent="0.2">
      <c r="A21" s="7" t="s">
        <v>641</v>
      </c>
      <c r="B21" s="7" t="s">
        <v>2160</v>
      </c>
      <c r="C21" s="7" t="s">
        <v>2161</v>
      </c>
      <c r="D21" s="8" t="s">
        <v>67</v>
      </c>
      <c r="E21" s="8" t="s">
        <v>67</v>
      </c>
      <c r="F21" s="8" t="s">
        <v>67</v>
      </c>
      <c r="G21" s="7" t="s">
        <v>2794</v>
      </c>
      <c r="H21" s="7" t="s">
        <v>2795</v>
      </c>
      <c r="I21" s="7" t="s">
        <v>71</v>
      </c>
      <c r="J21" s="7" t="s">
        <v>72</v>
      </c>
      <c r="K21" s="7"/>
      <c r="L21" s="7"/>
    </row>
    <row r="22" spans="1:12" ht="45.75" customHeight="1" x14ac:dyDescent="0.2">
      <c r="A22" s="7" t="s">
        <v>646</v>
      </c>
      <c r="B22" s="7" t="s">
        <v>2162</v>
      </c>
      <c r="C22" s="7" t="s">
        <v>2796</v>
      </c>
      <c r="D22" s="8" t="s">
        <v>67</v>
      </c>
      <c r="E22" s="8" t="s">
        <v>67</v>
      </c>
      <c r="F22" s="8" t="s">
        <v>67</v>
      </c>
      <c r="G22" s="7" t="s">
        <v>2797</v>
      </c>
      <c r="H22" s="7" t="s">
        <v>2798</v>
      </c>
      <c r="I22" s="7" t="s">
        <v>71</v>
      </c>
      <c r="J22" s="7" t="s">
        <v>72</v>
      </c>
      <c r="K22" s="7"/>
      <c r="L22" s="7"/>
    </row>
    <row r="23" spans="1:12" ht="34.5" customHeight="1" x14ac:dyDescent="0.2">
      <c r="A23" s="7" t="s">
        <v>668</v>
      </c>
      <c r="B23" s="7" t="s">
        <v>2164</v>
      </c>
      <c r="C23" s="7" t="s">
        <v>2165</v>
      </c>
      <c r="D23" s="8"/>
      <c r="E23" s="8"/>
      <c r="F23" s="8"/>
      <c r="G23" s="7" t="s">
        <v>2763</v>
      </c>
      <c r="H23" s="7" t="s">
        <v>2799</v>
      </c>
      <c r="I23" s="7" t="s">
        <v>71</v>
      </c>
      <c r="J23" s="7" t="s">
        <v>72</v>
      </c>
      <c r="K23" s="7"/>
      <c r="L23" s="7"/>
    </row>
    <row r="24" spans="1:12" ht="15" customHeight="1" x14ac:dyDescent="0.2">
      <c r="A24" s="6" t="s">
        <v>2800</v>
      </c>
      <c r="B24" s="6" t="s">
        <v>2801</v>
      </c>
      <c r="C24" s="6"/>
      <c r="D24" s="6"/>
      <c r="E24" s="6"/>
      <c r="F24" s="6"/>
      <c r="G24" s="6"/>
      <c r="H24" s="6"/>
      <c r="I24" s="6"/>
      <c r="J24" s="6"/>
      <c r="K24" s="6"/>
      <c r="L24" s="6"/>
    </row>
    <row r="25" spans="1:12" ht="23.25" customHeight="1" x14ac:dyDescent="0.2">
      <c r="A25" s="7" t="s">
        <v>673</v>
      </c>
      <c r="B25" s="7" t="s">
        <v>2485</v>
      </c>
      <c r="C25" s="7" t="s">
        <v>2486</v>
      </c>
      <c r="D25" s="8" t="s">
        <v>67</v>
      </c>
      <c r="E25" s="8" t="s">
        <v>67</v>
      </c>
      <c r="F25" s="8" t="s">
        <v>67</v>
      </c>
      <c r="G25" s="7" t="s">
        <v>2802</v>
      </c>
      <c r="H25" s="7" t="s">
        <v>2803</v>
      </c>
      <c r="I25" s="7" t="s">
        <v>71</v>
      </c>
      <c r="J25" s="7" t="s">
        <v>72</v>
      </c>
      <c r="K25" s="7"/>
      <c r="L25" s="7"/>
    </row>
    <row r="26" spans="1:12" ht="34.5" customHeight="1" x14ac:dyDescent="0.2">
      <c r="A26" s="7" t="s">
        <v>678</v>
      </c>
      <c r="B26" s="7" t="s">
        <v>2089</v>
      </c>
      <c r="C26" s="7" t="s">
        <v>2090</v>
      </c>
      <c r="D26" s="8" t="s">
        <v>67</v>
      </c>
      <c r="E26" s="8" t="s">
        <v>67</v>
      </c>
      <c r="F26" s="8" t="s">
        <v>67</v>
      </c>
      <c r="G26" s="7" t="s">
        <v>2804</v>
      </c>
      <c r="H26" s="7" t="s">
        <v>2805</v>
      </c>
      <c r="I26" s="7" t="s">
        <v>71</v>
      </c>
      <c r="J26" s="7" t="s">
        <v>72</v>
      </c>
      <c r="K26" s="7"/>
      <c r="L26" s="7"/>
    </row>
    <row r="27" spans="1:12" ht="45.75" customHeight="1" x14ac:dyDescent="0.2">
      <c r="A27" s="7" t="s">
        <v>684</v>
      </c>
      <c r="B27" s="7" t="s">
        <v>2378</v>
      </c>
      <c r="C27" s="7" t="s">
        <v>2806</v>
      </c>
      <c r="D27" s="8" t="s">
        <v>67</v>
      </c>
      <c r="E27" s="8" t="s">
        <v>67</v>
      </c>
      <c r="F27" s="8" t="s">
        <v>67</v>
      </c>
      <c r="G27" s="7" t="s">
        <v>2807</v>
      </c>
      <c r="H27" s="7" t="s">
        <v>2808</v>
      </c>
      <c r="I27" s="7" t="s">
        <v>71</v>
      </c>
      <c r="J27" s="7" t="s">
        <v>72</v>
      </c>
      <c r="K27" s="7"/>
      <c r="L27" s="7"/>
    </row>
    <row r="28" spans="1:12" ht="34.5" customHeight="1" x14ac:dyDescent="0.2">
      <c r="A28" s="7" t="s">
        <v>690</v>
      </c>
      <c r="B28" s="7" t="s">
        <v>2380</v>
      </c>
      <c r="C28" s="7" t="s">
        <v>2381</v>
      </c>
      <c r="D28" s="8"/>
      <c r="E28" s="8"/>
      <c r="F28" s="8"/>
      <c r="G28" s="7" t="s">
        <v>2763</v>
      </c>
      <c r="H28" s="7" t="s">
        <v>2809</v>
      </c>
      <c r="I28" s="7" t="s">
        <v>71</v>
      </c>
      <c r="J28" s="7" t="s">
        <v>72</v>
      </c>
      <c r="K28" s="7"/>
      <c r="L28" s="7"/>
    </row>
    <row r="29" spans="1:12" ht="15" customHeight="1" x14ac:dyDescent="0.2">
      <c r="A29" s="6" t="s">
        <v>2810</v>
      </c>
      <c r="B29" s="6" t="s">
        <v>2811</v>
      </c>
      <c r="C29" s="6"/>
      <c r="D29" s="6"/>
      <c r="E29" s="6"/>
      <c r="F29" s="6"/>
      <c r="G29" s="6"/>
      <c r="H29" s="6"/>
      <c r="I29" s="6"/>
      <c r="J29" s="6"/>
      <c r="K29" s="6"/>
      <c r="L29" s="6"/>
    </row>
    <row r="30" spans="1:12" ht="57" customHeight="1" x14ac:dyDescent="0.2">
      <c r="A30" s="7" t="s">
        <v>1826</v>
      </c>
      <c r="B30" s="7" t="s">
        <v>2382</v>
      </c>
      <c r="C30" s="7" t="s">
        <v>2812</v>
      </c>
      <c r="D30" s="8" t="s">
        <v>67</v>
      </c>
      <c r="E30" s="8" t="s">
        <v>67</v>
      </c>
      <c r="F30" s="8" t="s">
        <v>67</v>
      </c>
      <c r="G30" s="7" t="s">
        <v>2813</v>
      </c>
      <c r="H30" s="7" t="s">
        <v>2814</v>
      </c>
      <c r="I30" s="7" t="s">
        <v>71</v>
      </c>
      <c r="J30" s="7" t="s">
        <v>72</v>
      </c>
      <c r="K30" s="7"/>
      <c r="L30" s="7"/>
    </row>
    <row r="31" spans="1:12" ht="34.5" customHeight="1" x14ac:dyDescent="0.2">
      <c r="A31" s="7" t="s">
        <v>1831</v>
      </c>
      <c r="B31" s="7" t="s">
        <v>2384</v>
      </c>
      <c r="C31" s="7" t="s">
        <v>2385</v>
      </c>
      <c r="D31" s="8"/>
      <c r="E31" s="8"/>
      <c r="F31" s="8" t="s">
        <v>67</v>
      </c>
      <c r="G31" s="7" t="s">
        <v>2815</v>
      </c>
      <c r="H31" s="7" t="s">
        <v>2816</v>
      </c>
      <c r="I31" s="7" t="s">
        <v>71</v>
      </c>
      <c r="J31" s="7" t="s">
        <v>72</v>
      </c>
      <c r="K31" s="7"/>
      <c r="L31" s="7"/>
    </row>
    <row r="32" spans="1:12" ht="45.75" customHeight="1" x14ac:dyDescent="0.2">
      <c r="A32" s="7" t="s">
        <v>1836</v>
      </c>
      <c r="B32" s="7" t="s">
        <v>2344</v>
      </c>
      <c r="C32" s="7" t="s">
        <v>2817</v>
      </c>
      <c r="D32" s="8" t="s">
        <v>67</v>
      </c>
      <c r="E32" s="8" t="s">
        <v>67</v>
      </c>
      <c r="F32" s="8" t="s">
        <v>67</v>
      </c>
      <c r="G32" s="7" t="s">
        <v>2818</v>
      </c>
      <c r="H32" s="7" t="s">
        <v>2819</v>
      </c>
      <c r="I32" s="7" t="s">
        <v>71</v>
      </c>
      <c r="J32" s="7" t="s">
        <v>72</v>
      </c>
      <c r="K32" s="7"/>
      <c r="L32" s="7"/>
    </row>
    <row r="33" spans="1:12" ht="15" customHeight="1" x14ac:dyDescent="0.2">
      <c r="A33" s="6" t="s">
        <v>2820</v>
      </c>
      <c r="B33" s="6" t="s">
        <v>2821</v>
      </c>
      <c r="C33" s="6"/>
      <c r="D33" s="6"/>
      <c r="E33" s="6"/>
      <c r="F33" s="6"/>
      <c r="G33" s="6"/>
      <c r="H33" s="6"/>
      <c r="I33" s="6"/>
      <c r="J33" s="6"/>
      <c r="K33" s="6"/>
      <c r="L33" s="6"/>
    </row>
    <row r="34" spans="1:12" ht="34.5" customHeight="1" x14ac:dyDescent="0.2">
      <c r="A34" s="7" t="s">
        <v>1840</v>
      </c>
      <c r="B34" s="7" t="s">
        <v>2386</v>
      </c>
      <c r="C34" s="7" t="s">
        <v>2387</v>
      </c>
      <c r="D34" s="8"/>
      <c r="E34" s="8"/>
      <c r="F34" s="8"/>
      <c r="G34" s="7" t="s">
        <v>2763</v>
      </c>
      <c r="H34" s="7" t="s">
        <v>2822</v>
      </c>
      <c r="I34" s="7" t="s">
        <v>71</v>
      </c>
      <c r="J34" s="7" t="s">
        <v>72</v>
      </c>
      <c r="K34" s="7"/>
      <c r="L34" s="7"/>
    </row>
    <row r="35" spans="1:12" ht="34.5" customHeight="1" x14ac:dyDescent="0.2">
      <c r="A35" s="7" t="s">
        <v>2189</v>
      </c>
      <c r="B35" s="7" t="s">
        <v>2190</v>
      </c>
      <c r="C35" s="7" t="s">
        <v>2191</v>
      </c>
      <c r="D35" s="8"/>
      <c r="E35" s="8"/>
      <c r="F35" s="8"/>
      <c r="G35" s="7" t="s">
        <v>2763</v>
      </c>
      <c r="H35" s="7" t="s">
        <v>2823</v>
      </c>
      <c r="I35" s="7" t="s">
        <v>71</v>
      </c>
      <c r="J35" s="7" t="s">
        <v>72</v>
      </c>
      <c r="K35" s="7"/>
      <c r="L35" s="7"/>
    </row>
    <row r="36" spans="1:12" ht="15" customHeight="1" x14ac:dyDescent="0.2">
      <c r="A36" s="6" t="s">
        <v>2824</v>
      </c>
      <c r="B36" s="6" t="s">
        <v>2825</v>
      </c>
      <c r="C36" s="6"/>
      <c r="D36" s="6"/>
      <c r="E36" s="6"/>
      <c r="F36" s="6"/>
      <c r="G36" s="6"/>
      <c r="H36" s="6"/>
      <c r="I36" s="6"/>
      <c r="J36" s="6"/>
      <c r="K36" s="6"/>
      <c r="L36" s="6"/>
    </row>
    <row r="37" spans="1:12" ht="45.75" customHeight="1" x14ac:dyDescent="0.2">
      <c r="A37" s="7" t="s">
        <v>2082</v>
      </c>
      <c r="B37" s="7" t="s">
        <v>2083</v>
      </c>
      <c r="C37" s="7" t="s">
        <v>2826</v>
      </c>
      <c r="D37" s="8" t="s">
        <v>67</v>
      </c>
      <c r="E37" s="8"/>
      <c r="F37" s="8"/>
      <c r="G37" s="7" t="s">
        <v>2827</v>
      </c>
      <c r="H37" s="7" t="s">
        <v>2828</v>
      </c>
      <c r="I37" s="7" t="s">
        <v>71</v>
      </c>
      <c r="J37" s="7" t="s">
        <v>72</v>
      </c>
      <c r="K37" s="7"/>
      <c r="L37" s="7"/>
    </row>
    <row r="38" spans="1:12" ht="15" customHeight="1" x14ac:dyDescent="0.2">
      <c r="A38" s="6" t="s">
        <v>2829</v>
      </c>
      <c r="B38" s="6" t="s">
        <v>2830</v>
      </c>
      <c r="C38" s="6"/>
      <c r="D38" s="6"/>
      <c r="E38" s="6"/>
      <c r="F38" s="6"/>
      <c r="G38" s="6"/>
      <c r="H38" s="6"/>
      <c r="I38" s="6"/>
      <c r="J38" s="6"/>
      <c r="K38" s="6"/>
      <c r="L38" s="6"/>
    </row>
    <row r="39" spans="1:12" ht="45.75" customHeight="1" x14ac:dyDescent="0.2">
      <c r="A39" s="7" t="s">
        <v>2267</v>
      </c>
      <c r="B39" s="7" t="s">
        <v>2268</v>
      </c>
      <c r="C39" s="7" t="s">
        <v>2831</v>
      </c>
      <c r="D39" s="8"/>
      <c r="E39" s="8"/>
      <c r="F39" s="8"/>
      <c r="G39" s="7" t="s">
        <v>2763</v>
      </c>
      <c r="H39" s="7" t="s">
        <v>2832</v>
      </c>
      <c r="I39" s="7" t="s">
        <v>71</v>
      </c>
      <c r="J39" s="7" t="s">
        <v>72</v>
      </c>
      <c r="K39" s="7"/>
      <c r="L39" s="7"/>
    </row>
    <row r="40" spans="1:12" ht="23.25" customHeight="1" x14ac:dyDescent="0.2">
      <c r="A40" s="7" t="s">
        <v>2487</v>
      </c>
      <c r="B40" s="7" t="s">
        <v>2488</v>
      </c>
      <c r="C40" s="7" t="s">
        <v>2489</v>
      </c>
      <c r="D40" s="8"/>
      <c r="E40" s="8"/>
      <c r="F40" s="8"/>
      <c r="G40" s="7" t="s">
        <v>2763</v>
      </c>
      <c r="H40" s="7" t="s">
        <v>2833</v>
      </c>
      <c r="I40" s="7" t="s">
        <v>71</v>
      </c>
      <c r="J40" s="7" t="s">
        <v>72</v>
      </c>
      <c r="K40" s="7"/>
      <c r="L40" s="7"/>
    </row>
  </sheetData>
  <autoFilter ref="A3:L40" xr:uid="{00000000-0009-0000-0000-000012000000}"/>
  <conditionalFormatting sqref="J4:J40">
    <cfRule type="cellIs" dxfId="17" priority="2" operator="equal">
      <formula>"Implemented"</formula>
    </cfRule>
    <cfRule type="cellIs" dxfId="16" priority="3" operator="equal">
      <formula>"Verified"</formula>
    </cfRule>
    <cfRule type="cellIs" dxfId="15" priority="4" operator="equal">
      <formula>"In progress"</formula>
    </cfRule>
  </conditionalFormatting>
  <dataValidations count="2">
    <dataValidation type="list" allowBlank="1" sqref="I4:I40" xr:uid="{00000000-0002-0000-1200-000000000000}">
      <formula1>"Yes,No"</formula1>
      <formula2>0</formula2>
    </dataValidation>
    <dataValidation type="list" allowBlank="1" sqref="J4:J40" xr:uid="{00000000-0002-0000-1200-000001000000}">
      <formula1>"Not started,In progress,Implemented,Verified,Not applicable"</formula1>
      <formula2>0</formula2>
    </dataValidation>
  </dataValidations>
  <pageMargins left="0.75" right="0.75" top="1" bottom="1" header="0.511811023622047" footer="0.511811023622047"/>
  <pageSetup fitToHeight="0" orientation="landscape"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L23"/>
  <sheetViews>
    <sheetView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5" x14ac:dyDescent="0.2"/>
  <cols>
    <col min="1" max="1" width="14" customWidth="1"/>
    <col min="2" max="2" width="42" customWidth="1"/>
    <col min="3" max="3" width="64" customWidth="1"/>
    <col min="4" max="6" width="5" customWidth="1"/>
    <col min="7" max="7" width="54" customWidth="1"/>
    <col min="8" max="8" width="42" customWidth="1"/>
    <col min="9" max="9" width="12" customWidth="1"/>
    <col min="10" max="11" width="14" customWidth="1"/>
    <col min="12" max="12" width="26" customWidth="1"/>
  </cols>
  <sheetData>
    <row r="1" spans="1:12" ht="15.75" customHeight="1" x14ac:dyDescent="0.2">
      <c r="A1" s="33" t="s">
        <v>2834</v>
      </c>
    </row>
    <row r="3" spans="1:12" ht="15" customHeight="1" x14ac:dyDescent="0.2">
      <c r="A3" s="37" t="s">
        <v>48</v>
      </c>
      <c r="B3" s="37" t="s">
        <v>50</v>
      </c>
      <c r="C3" s="37" t="s">
        <v>2835</v>
      </c>
      <c r="D3" s="37" t="s">
        <v>52</v>
      </c>
      <c r="E3" s="37" t="s">
        <v>53</v>
      </c>
      <c r="F3" s="37" t="s">
        <v>54</v>
      </c>
      <c r="G3" s="37" t="s">
        <v>999</v>
      </c>
      <c r="H3" s="37" t="s">
        <v>57</v>
      </c>
      <c r="I3" s="37" t="s">
        <v>545</v>
      </c>
      <c r="J3" s="37" t="s">
        <v>59</v>
      </c>
      <c r="K3" s="37" t="s">
        <v>60</v>
      </c>
      <c r="L3" s="37" t="s">
        <v>61</v>
      </c>
    </row>
    <row r="4" spans="1:12" ht="15" customHeight="1" x14ac:dyDescent="0.2">
      <c r="A4" s="6" t="s">
        <v>2836</v>
      </c>
      <c r="B4" s="6" t="s">
        <v>2837</v>
      </c>
      <c r="C4" s="6"/>
      <c r="D4" s="6"/>
      <c r="E4" s="6"/>
      <c r="F4" s="6"/>
      <c r="G4" s="6"/>
      <c r="H4" s="6"/>
      <c r="I4" s="6"/>
      <c r="J4" s="6"/>
      <c r="K4" s="6"/>
      <c r="L4" s="6"/>
    </row>
    <row r="5" spans="1:12" ht="45.75" customHeight="1" x14ac:dyDescent="0.2">
      <c r="A5" s="7" t="s">
        <v>2391</v>
      </c>
      <c r="B5" s="7" t="s">
        <v>2392</v>
      </c>
      <c r="C5" s="7" t="s">
        <v>2838</v>
      </c>
      <c r="D5" s="8"/>
      <c r="E5" s="8"/>
      <c r="F5" s="8"/>
      <c r="G5" s="7" t="s">
        <v>2839</v>
      </c>
      <c r="H5" s="7" t="s">
        <v>2840</v>
      </c>
      <c r="I5" s="7" t="s">
        <v>71</v>
      </c>
      <c r="J5" s="7" t="s">
        <v>72</v>
      </c>
      <c r="K5" s="7"/>
      <c r="L5" s="7"/>
    </row>
    <row r="6" spans="1:12" ht="45.75" customHeight="1" x14ac:dyDescent="0.2">
      <c r="A6" s="7" t="s">
        <v>2270</v>
      </c>
      <c r="B6" s="7" t="s">
        <v>2271</v>
      </c>
      <c r="C6" s="7" t="s">
        <v>2841</v>
      </c>
      <c r="D6" s="8"/>
      <c r="E6" s="8"/>
      <c r="F6" s="8"/>
      <c r="G6" s="7" t="s">
        <v>2839</v>
      </c>
      <c r="H6" s="7" t="s">
        <v>2842</v>
      </c>
      <c r="I6" s="7" t="s">
        <v>71</v>
      </c>
      <c r="J6" s="7" t="s">
        <v>72</v>
      </c>
      <c r="K6" s="7"/>
      <c r="L6" s="7"/>
    </row>
    <row r="7" spans="1:12" ht="34.5" customHeight="1" x14ac:dyDescent="0.2">
      <c r="A7" s="7" t="s">
        <v>2490</v>
      </c>
      <c r="B7" s="7" t="s">
        <v>2491</v>
      </c>
      <c r="C7" s="7" t="s">
        <v>2492</v>
      </c>
      <c r="D7" s="8"/>
      <c r="E7" s="8"/>
      <c r="F7" s="8"/>
      <c r="G7" s="7" t="s">
        <v>2839</v>
      </c>
      <c r="H7" s="7" t="s">
        <v>2843</v>
      </c>
      <c r="I7" s="7" t="s">
        <v>71</v>
      </c>
      <c r="J7" s="7" t="s">
        <v>72</v>
      </c>
      <c r="K7" s="7"/>
      <c r="L7" s="7"/>
    </row>
    <row r="8" spans="1:12" ht="15" customHeight="1" x14ac:dyDescent="0.2">
      <c r="A8" s="6" t="s">
        <v>2844</v>
      </c>
      <c r="B8" s="6" t="s">
        <v>2845</v>
      </c>
      <c r="C8" s="6"/>
      <c r="D8" s="6"/>
      <c r="E8" s="6"/>
      <c r="F8" s="6"/>
      <c r="G8" s="6"/>
      <c r="H8" s="6"/>
      <c r="I8" s="6"/>
      <c r="J8" s="6"/>
      <c r="K8" s="6"/>
      <c r="L8" s="6"/>
    </row>
    <row r="9" spans="1:12" ht="34.5" customHeight="1" x14ac:dyDescent="0.2">
      <c r="A9" s="7" t="s">
        <v>2427</v>
      </c>
      <c r="B9" s="7" t="s">
        <v>2428</v>
      </c>
      <c r="C9" s="7" t="s">
        <v>2429</v>
      </c>
      <c r="D9" s="8"/>
      <c r="E9" s="8"/>
      <c r="F9" s="8"/>
      <c r="G9" s="7" t="s">
        <v>2839</v>
      </c>
      <c r="H9" s="7" t="s">
        <v>2846</v>
      </c>
      <c r="I9" s="7" t="s">
        <v>71</v>
      </c>
      <c r="J9" s="7" t="s">
        <v>72</v>
      </c>
      <c r="K9" s="7"/>
      <c r="L9" s="7"/>
    </row>
    <row r="10" spans="1:12" ht="34.5" customHeight="1" x14ac:dyDescent="0.2">
      <c r="A10" s="7" t="s">
        <v>2091</v>
      </c>
      <c r="B10" s="7" t="s">
        <v>2092</v>
      </c>
      <c r="C10" s="7" t="s">
        <v>2093</v>
      </c>
      <c r="D10" s="8" t="s">
        <v>67</v>
      </c>
      <c r="E10" s="8" t="s">
        <v>67</v>
      </c>
      <c r="F10" s="8" t="s">
        <v>67</v>
      </c>
      <c r="G10" s="7" t="s">
        <v>2847</v>
      </c>
      <c r="H10" s="7" t="s">
        <v>2848</v>
      </c>
      <c r="I10" s="7" t="s">
        <v>71</v>
      </c>
      <c r="J10" s="7" t="s">
        <v>72</v>
      </c>
      <c r="K10" s="7"/>
      <c r="L10" s="7"/>
    </row>
    <row r="11" spans="1:12" ht="15" customHeight="1" x14ac:dyDescent="0.2">
      <c r="A11" s="6" t="s">
        <v>2849</v>
      </c>
      <c r="B11" s="6" t="s">
        <v>2850</v>
      </c>
      <c r="C11" s="6"/>
      <c r="D11" s="6"/>
      <c r="E11" s="6"/>
      <c r="F11" s="6"/>
      <c r="G11" s="6"/>
      <c r="H11" s="6"/>
      <c r="I11" s="6"/>
      <c r="J11" s="6"/>
      <c r="K11" s="6"/>
      <c r="L11" s="6"/>
    </row>
    <row r="12" spans="1:12" ht="34.5" customHeight="1" x14ac:dyDescent="0.2">
      <c r="A12" s="7" t="s">
        <v>2094</v>
      </c>
      <c r="B12" s="7" t="s">
        <v>2095</v>
      </c>
      <c r="C12" s="7" t="s">
        <v>2096</v>
      </c>
      <c r="D12" s="8" t="s">
        <v>67</v>
      </c>
      <c r="E12" s="8" t="s">
        <v>67</v>
      </c>
      <c r="F12" s="8" t="s">
        <v>67</v>
      </c>
      <c r="G12" s="7" t="s">
        <v>2851</v>
      </c>
      <c r="H12" s="7" t="s">
        <v>2852</v>
      </c>
      <c r="I12" s="7" t="s">
        <v>71</v>
      </c>
      <c r="J12" s="7" t="s">
        <v>72</v>
      </c>
      <c r="K12" s="7"/>
      <c r="L12" s="7"/>
    </row>
    <row r="13" spans="1:12" ht="34.5" customHeight="1" x14ac:dyDescent="0.2">
      <c r="A13" s="7" t="s">
        <v>2097</v>
      </c>
      <c r="B13" s="7" t="s">
        <v>2098</v>
      </c>
      <c r="C13" s="7" t="s">
        <v>2099</v>
      </c>
      <c r="D13" s="8" t="s">
        <v>67</v>
      </c>
      <c r="E13" s="8" t="s">
        <v>67</v>
      </c>
      <c r="F13" s="8" t="s">
        <v>67</v>
      </c>
      <c r="G13" s="7" t="s">
        <v>2853</v>
      </c>
      <c r="H13" s="7" t="s">
        <v>2854</v>
      </c>
      <c r="I13" s="7" t="s">
        <v>71</v>
      </c>
      <c r="J13" s="7" t="s">
        <v>72</v>
      </c>
      <c r="K13" s="7"/>
      <c r="L13" s="7"/>
    </row>
    <row r="14" spans="1:12" ht="34.5" customHeight="1" x14ac:dyDescent="0.2">
      <c r="A14" s="7" t="s">
        <v>2100</v>
      </c>
      <c r="B14" s="7" t="s">
        <v>2101</v>
      </c>
      <c r="C14" s="7" t="s">
        <v>2102</v>
      </c>
      <c r="D14" s="8"/>
      <c r="E14" s="8" t="s">
        <v>67</v>
      </c>
      <c r="F14" s="8"/>
      <c r="G14" s="7" t="s">
        <v>2855</v>
      </c>
      <c r="H14" s="7" t="s">
        <v>2856</v>
      </c>
      <c r="I14" s="7" t="s">
        <v>71</v>
      </c>
      <c r="J14" s="7" t="s">
        <v>72</v>
      </c>
      <c r="K14" s="7"/>
      <c r="L14" s="7"/>
    </row>
    <row r="15" spans="1:12" ht="15" customHeight="1" x14ac:dyDescent="0.2">
      <c r="A15" s="6" t="s">
        <v>2857</v>
      </c>
      <c r="B15" s="6" t="s">
        <v>2858</v>
      </c>
      <c r="C15" s="6"/>
      <c r="D15" s="6"/>
      <c r="E15" s="6"/>
      <c r="F15" s="6"/>
      <c r="G15" s="6"/>
      <c r="H15" s="6"/>
      <c r="I15" s="6"/>
      <c r="J15" s="6"/>
      <c r="K15" s="6"/>
      <c r="L15" s="6"/>
    </row>
    <row r="16" spans="1:12" ht="34.5" customHeight="1" x14ac:dyDescent="0.2">
      <c r="A16" s="7" t="s">
        <v>2493</v>
      </c>
      <c r="B16" s="7" t="s">
        <v>2494</v>
      </c>
      <c r="C16" s="7" t="s">
        <v>2495</v>
      </c>
      <c r="D16" s="8"/>
      <c r="E16" s="8"/>
      <c r="F16" s="8"/>
      <c r="G16" s="7" t="s">
        <v>2839</v>
      </c>
      <c r="H16" s="7" t="s">
        <v>2859</v>
      </c>
      <c r="I16" s="7" t="s">
        <v>71</v>
      </c>
      <c r="J16" s="7" t="s">
        <v>72</v>
      </c>
      <c r="K16" s="7"/>
      <c r="L16" s="7"/>
    </row>
    <row r="17" spans="1:12" ht="34.5" customHeight="1" x14ac:dyDescent="0.2">
      <c r="A17" s="7" t="s">
        <v>2121</v>
      </c>
      <c r="B17" s="7" t="s">
        <v>2122</v>
      </c>
      <c r="C17" s="7" t="s">
        <v>2123</v>
      </c>
      <c r="D17" s="8"/>
      <c r="E17" s="8"/>
      <c r="F17" s="8"/>
      <c r="G17" s="7" t="s">
        <v>2839</v>
      </c>
      <c r="H17" s="7" t="s">
        <v>2860</v>
      </c>
      <c r="I17" s="7" t="s">
        <v>71</v>
      </c>
      <c r="J17" s="7" t="s">
        <v>72</v>
      </c>
      <c r="K17" s="7"/>
      <c r="L17" s="7"/>
    </row>
    <row r="18" spans="1:12" ht="15" customHeight="1" x14ac:dyDescent="0.2">
      <c r="A18" s="6" t="s">
        <v>2861</v>
      </c>
      <c r="B18" s="6" t="s">
        <v>2862</v>
      </c>
      <c r="C18" s="6"/>
      <c r="D18" s="6"/>
      <c r="E18" s="6"/>
      <c r="F18" s="6"/>
      <c r="G18" s="6"/>
      <c r="H18" s="6"/>
      <c r="I18" s="6"/>
      <c r="J18" s="6"/>
      <c r="K18" s="6"/>
      <c r="L18" s="6"/>
    </row>
    <row r="19" spans="1:12" ht="79.5" customHeight="1" x14ac:dyDescent="0.2">
      <c r="A19" s="7" t="s">
        <v>2103</v>
      </c>
      <c r="B19" s="7" t="s">
        <v>2104</v>
      </c>
      <c r="C19" s="7" t="s">
        <v>2863</v>
      </c>
      <c r="D19" s="8"/>
      <c r="E19" s="8"/>
      <c r="F19" s="8"/>
      <c r="G19" s="7" t="s">
        <v>2839</v>
      </c>
      <c r="H19" s="7" t="s">
        <v>2864</v>
      </c>
      <c r="I19" s="7" t="s">
        <v>71</v>
      </c>
      <c r="J19" s="7" t="s">
        <v>72</v>
      </c>
      <c r="K19" s="7"/>
      <c r="L19" s="7"/>
    </row>
    <row r="20" spans="1:12" ht="34.5" customHeight="1" x14ac:dyDescent="0.2">
      <c r="A20" s="7" t="s">
        <v>2496</v>
      </c>
      <c r="B20" s="7" t="s">
        <v>2497</v>
      </c>
      <c r="C20" s="7" t="s">
        <v>2498</v>
      </c>
      <c r="D20" s="8" t="s">
        <v>67</v>
      </c>
      <c r="E20" s="8" t="s">
        <v>67</v>
      </c>
      <c r="F20" s="8" t="s">
        <v>67</v>
      </c>
      <c r="G20" s="7" t="s">
        <v>2865</v>
      </c>
      <c r="H20" s="7" t="s">
        <v>2866</v>
      </c>
      <c r="I20" s="7" t="s">
        <v>71</v>
      </c>
      <c r="J20" s="7" t="s">
        <v>72</v>
      </c>
      <c r="K20" s="7"/>
      <c r="L20" s="7"/>
    </row>
    <row r="21" spans="1:12" ht="15" customHeight="1" x14ac:dyDescent="0.2">
      <c r="A21" s="6" t="s">
        <v>2867</v>
      </c>
      <c r="B21" s="6" t="s">
        <v>2868</v>
      </c>
      <c r="C21" s="6"/>
      <c r="D21" s="6"/>
      <c r="E21" s="6"/>
      <c r="F21" s="6"/>
      <c r="G21" s="6"/>
      <c r="H21" s="6"/>
      <c r="I21" s="6"/>
      <c r="J21" s="6"/>
      <c r="K21" s="6"/>
      <c r="L21" s="6"/>
    </row>
    <row r="22" spans="1:12" ht="45.75" customHeight="1" x14ac:dyDescent="0.2">
      <c r="A22" s="7" t="s">
        <v>2499</v>
      </c>
      <c r="B22" s="7" t="s">
        <v>2500</v>
      </c>
      <c r="C22" s="7" t="s">
        <v>2869</v>
      </c>
      <c r="D22" s="8" t="s">
        <v>67</v>
      </c>
      <c r="E22" s="8"/>
      <c r="F22" s="8"/>
      <c r="G22" s="7" t="s">
        <v>2870</v>
      </c>
      <c r="H22" s="7" t="s">
        <v>2871</v>
      </c>
      <c r="I22" s="7" t="s">
        <v>71</v>
      </c>
      <c r="J22" s="7" t="s">
        <v>72</v>
      </c>
      <c r="K22" s="7"/>
      <c r="L22" s="7"/>
    </row>
    <row r="23" spans="1:12" ht="45.75" customHeight="1" x14ac:dyDescent="0.2">
      <c r="A23" s="7" t="s">
        <v>2124</v>
      </c>
      <c r="B23" s="7" t="s">
        <v>2125</v>
      </c>
      <c r="C23" s="7" t="s">
        <v>2872</v>
      </c>
      <c r="D23" s="8"/>
      <c r="E23" s="8"/>
      <c r="F23" s="8"/>
      <c r="G23" s="7" t="s">
        <v>2839</v>
      </c>
      <c r="H23" s="7" t="s">
        <v>2873</v>
      </c>
      <c r="I23" s="7" t="s">
        <v>71</v>
      </c>
      <c r="J23" s="7" t="s">
        <v>72</v>
      </c>
      <c r="K23" s="7"/>
      <c r="L23" s="7"/>
    </row>
  </sheetData>
  <autoFilter ref="A3:L23" xr:uid="{00000000-0009-0000-0000-000013000000}"/>
  <conditionalFormatting sqref="J4:J23">
    <cfRule type="cellIs" dxfId="14" priority="2" operator="equal">
      <formula>"Implemented"</formula>
    </cfRule>
    <cfRule type="cellIs" dxfId="13" priority="3" operator="equal">
      <formula>"Verified"</formula>
    </cfRule>
    <cfRule type="cellIs" dxfId="12" priority="4" operator="equal">
      <formula>"In progress"</formula>
    </cfRule>
  </conditionalFormatting>
  <dataValidations count="2">
    <dataValidation type="list" allowBlank="1" sqref="I4:I23" xr:uid="{00000000-0002-0000-1300-000000000000}">
      <formula1>"Yes,No"</formula1>
      <formula2>0</formula2>
    </dataValidation>
    <dataValidation type="list" allowBlank="1" sqref="J4:J23" xr:uid="{00000000-0002-0000-1300-000001000000}">
      <formula1>"Not started,In progress,Implemented,Verified,Not applicable"</formula1>
      <formula2>0</formula2>
    </dataValidation>
  </dataValidations>
  <pageMargins left="0.75" right="0.75" top="1" bottom="1" header="0.511811023622047" footer="0.511811023622047"/>
  <pageSetup fitToHeight="0" orientation="landscape"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L30"/>
  <sheetViews>
    <sheetView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5" x14ac:dyDescent="0.2"/>
  <cols>
    <col min="1" max="1" width="9" customWidth="1"/>
    <col min="2" max="2" width="42" customWidth="1"/>
    <col min="3" max="3" width="66" customWidth="1"/>
    <col min="4" max="6" width="5" customWidth="1"/>
    <col min="7" max="7" width="54" customWidth="1"/>
    <col min="8" max="8" width="42" customWidth="1"/>
    <col min="9" max="9" width="12" customWidth="1"/>
    <col min="10" max="11" width="14" customWidth="1"/>
    <col min="12" max="12" width="26" customWidth="1"/>
  </cols>
  <sheetData>
    <row r="1" spans="1:12" ht="15.75" customHeight="1" x14ac:dyDescent="0.2">
      <c r="A1" s="33" t="s">
        <v>2874</v>
      </c>
    </row>
    <row r="3" spans="1:12" ht="15" customHeight="1" x14ac:dyDescent="0.2">
      <c r="A3" s="38" t="s">
        <v>48</v>
      </c>
      <c r="B3" s="38" t="s">
        <v>50</v>
      </c>
      <c r="C3" s="38" t="s">
        <v>173</v>
      </c>
      <c r="D3" s="38" t="s">
        <v>52</v>
      </c>
      <c r="E3" s="38" t="s">
        <v>53</v>
      </c>
      <c r="F3" s="38" t="s">
        <v>54</v>
      </c>
      <c r="G3" s="38" t="s">
        <v>999</v>
      </c>
      <c r="H3" s="38" t="s">
        <v>57</v>
      </c>
      <c r="I3" s="38" t="s">
        <v>545</v>
      </c>
      <c r="J3" s="38" t="s">
        <v>59</v>
      </c>
      <c r="K3" s="38" t="s">
        <v>60</v>
      </c>
      <c r="L3" s="38" t="s">
        <v>61</v>
      </c>
    </row>
    <row r="4" spans="1:12" ht="15" customHeight="1" x14ac:dyDescent="0.2">
      <c r="A4" s="6" t="s">
        <v>2875</v>
      </c>
      <c r="B4" s="6" t="s">
        <v>2876</v>
      </c>
      <c r="C4" s="6"/>
      <c r="D4" s="6"/>
      <c r="E4" s="6"/>
      <c r="F4" s="6"/>
      <c r="G4" s="6"/>
      <c r="H4" s="6"/>
      <c r="I4" s="6"/>
      <c r="J4" s="6"/>
      <c r="K4" s="6"/>
      <c r="L4" s="6"/>
    </row>
    <row r="5" spans="1:12" ht="34.5" customHeight="1" x14ac:dyDescent="0.2">
      <c r="A5" s="7" t="s">
        <v>2206</v>
      </c>
      <c r="B5" s="7" t="s">
        <v>2207</v>
      </c>
      <c r="C5" s="7" t="s">
        <v>2208</v>
      </c>
      <c r="D5" s="8" t="s">
        <v>67</v>
      </c>
      <c r="E5" s="8" t="s">
        <v>67</v>
      </c>
      <c r="F5" s="8" t="s">
        <v>67</v>
      </c>
      <c r="G5" s="7" t="s">
        <v>2877</v>
      </c>
      <c r="H5" s="7" t="s">
        <v>2878</v>
      </c>
      <c r="I5" s="7" t="s">
        <v>71</v>
      </c>
      <c r="J5" s="7" t="s">
        <v>72</v>
      </c>
      <c r="K5" s="7"/>
      <c r="L5" s="7"/>
    </row>
    <row r="6" spans="1:12" ht="34.5" customHeight="1" x14ac:dyDescent="0.2">
      <c r="A6" s="7" t="s">
        <v>2209</v>
      </c>
      <c r="B6" s="7" t="s">
        <v>2210</v>
      </c>
      <c r="C6" s="7" t="s">
        <v>2211</v>
      </c>
      <c r="D6" s="8" t="s">
        <v>67</v>
      </c>
      <c r="E6" s="8" t="s">
        <v>67</v>
      </c>
      <c r="F6" s="8" t="s">
        <v>67</v>
      </c>
      <c r="G6" s="7" t="s">
        <v>2879</v>
      </c>
      <c r="H6" s="7" t="s">
        <v>2880</v>
      </c>
      <c r="I6" s="7" t="s">
        <v>71</v>
      </c>
      <c r="J6" s="7" t="s">
        <v>72</v>
      </c>
      <c r="K6" s="7"/>
      <c r="L6" s="7"/>
    </row>
    <row r="7" spans="1:12" ht="34.5" customHeight="1" x14ac:dyDescent="0.2">
      <c r="A7" s="7" t="s">
        <v>2212</v>
      </c>
      <c r="B7" s="7" t="s">
        <v>2213</v>
      </c>
      <c r="C7" s="7" t="s">
        <v>2214</v>
      </c>
      <c r="D7" s="8"/>
      <c r="E7" s="8"/>
      <c r="F7" s="8"/>
      <c r="G7" s="7" t="s">
        <v>2881</v>
      </c>
      <c r="H7" s="7" t="s">
        <v>2882</v>
      </c>
      <c r="I7" s="7" t="s">
        <v>71</v>
      </c>
      <c r="J7" s="7" t="s">
        <v>72</v>
      </c>
      <c r="K7" s="7"/>
      <c r="L7" s="7"/>
    </row>
    <row r="8" spans="1:12" ht="34.5" customHeight="1" x14ac:dyDescent="0.2">
      <c r="A8" s="7" t="s">
        <v>2215</v>
      </c>
      <c r="B8" s="7" t="s">
        <v>2216</v>
      </c>
      <c r="C8" s="7" t="s">
        <v>2217</v>
      </c>
      <c r="D8" s="8" t="s">
        <v>67</v>
      </c>
      <c r="E8" s="8"/>
      <c r="F8" s="8"/>
      <c r="G8" s="7" t="s">
        <v>2883</v>
      </c>
      <c r="H8" s="7" t="s">
        <v>2884</v>
      </c>
      <c r="I8" s="7" t="s">
        <v>71</v>
      </c>
      <c r="J8" s="7" t="s">
        <v>72</v>
      </c>
      <c r="K8" s="7"/>
      <c r="L8" s="7"/>
    </row>
    <row r="9" spans="1:12" ht="34.5" customHeight="1" x14ac:dyDescent="0.2">
      <c r="A9" s="7" t="s">
        <v>2218</v>
      </c>
      <c r="B9" s="7" t="s">
        <v>2219</v>
      </c>
      <c r="C9" s="7" t="s">
        <v>2220</v>
      </c>
      <c r="D9" s="8" t="s">
        <v>67</v>
      </c>
      <c r="E9" s="8" t="s">
        <v>67</v>
      </c>
      <c r="F9" s="8" t="s">
        <v>67</v>
      </c>
      <c r="G9" s="7" t="s">
        <v>2885</v>
      </c>
      <c r="H9" s="7" t="s">
        <v>2886</v>
      </c>
      <c r="I9" s="7" t="s">
        <v>71</v>
      </c>
      <c r="J9" s="7" t="s">
        <v>72</v>
      </c>
      <c r="K9" s="7"/>
      <c r="L9" s="7"/>
    </row>
    <row r="10" spans="1:12" ht="23.25" customHeight="1" x14ac:dyDescent="0.2">
      <c r="A10" s="7" t="s">
        <v>2221</v>
      </c>
      <c r="B10" s="7" t="s">
        <v>2222</v>
      </c>
      <c r="C10" s="7" t="s">
        <v>2223</v>
      </c>
      <c r="D10" s="8" t="s">
        <v>67</v>
      </c>
      <c r="E10" s="8" t="s">
        <v>67</v>
      </c>
      <c r="F10" s="8" t="s">
        <v>67</v>
      </c>
      <c r="G10" s="7" t="s">
        <v>2887</v>
      </c>
      <c r="H10" s="7" t="s">
        <v>2888</v>
      </c>
      <c r="I10" s="7" t="s">
        <v>71</v>
      </c>
      <c r="J10" s="7" t="s">
        <v>72</v>
      </c>
      <c r="K10" s="7"/>
      <c r="L10" s="7"/>
    </row>
    <row r="11" spans="1:12" ht="45.75" customHeight="1" x14ac:dyDescent="0.2">
      <c r="A11" s="7" t="s">
        <v>2224</v>
      </c>
      <c r="B11" s="7" t="s">
        <v>2225</v>
      </c>
      <c r="C11" s="7" t="s">
        <v>2889</v>
      </c>
      <c r="D11" s="8" t="s">
        <v>67</v>
      </c>
      <c r="E11" s="8" t="s">
        <v>67</v>
      </c>
      <c r="F11" s="8" t="s">
        <v>67</v>
      </c>
      <c r="G11" s="7" t="s">
        <v>2890</v>
      </c>
      <c r="H11" s="7" t="s">
        <v>2891</v>
      </c>
      <c r="I11" s="7" t="s">
        <v>71</v>
      </c>
      <c r="J11" s="7" t="s">
        <v>72</v>
      </c>
      <c r="K11" s="7"/>
      <c r="L11" s="7"/>
    </row>
    <row r="12" spans="1:12" ht="34.5" customHeight="1" x14ac:dyDescent="0.2">
      <c r="A12" s="7" t="s">
        <v>2227</v>
      </c>
      <c r="B12" s="7" t="s">
        <v>2228</v>
      </c>
      <c r="C12" s="7" t="s">
        <v>2229</v>
      </c>
      <c r="D12" s="8" t="s">
        <v>67</v>
      </c>
      <c r="E12" s="8"/>
      <c r="F12" s="8"/>
      <c r="G12" s="7" t="s">
        <v>2892</v>
      </c>
      <c r="H12" s="7" t="s">
        <v>2893</v>
      </c>
      <c r="I12" s="7" t="s">
        <v>71</v>
      </c>
      <c r="J12" s="7" t="s">
        <v>72</v>
      </c>
      <c r="K12" s="7"/>
      <c r="L12" s="7"/>
    </row>
    <row r="13" spans="1:12" ht="15" customHeight="1" x14ac:dyDescent="0.2">
      <c r="A13" s="6" t="s">
        <v>2894</v>
      </c>
      <c r="B13" s="6" t="s">
        <v>2895</v>
      </c>
      <c r="C13" s="6"/>
      <c r="D13" s="6"/>
      <c r="E13" s="6"/>
      <c r="F13" s="6"/>
      <c r="G13" s="6"/>
      <c r="H13" s="6"/>
      <c r="I13" s="6"/>
      <c r="J13" s="6"/>
      <c r="K13" s="6"/>
      <c r="L13" s="6"/>
    </row>
    <row r="14" spans="1:12" ht="34.5" customHeight="1" x14ac:dyDescent="0.2">
      <c r="A14" s="7" t="s">
        <v>2502</v>
      </c>
      <c r="B14" s="7" t="s">
        <v>2503</v>
      </c>
      <c r="C14" s="7" t="s">
        <v>2504</v>
      </c>
      <c r="D14" s="8" t="s">
        <v>67</v>
      </c>
      <c r="E14" s="8" t="s">
        <v>67</v>
      </c>
      <c r="F14" s="8" t="s">
        <v>67</v>
      </c>
      <c r="G14" s="7" t="s">
        <v>2896</v>
      </c>
      <c r="H14" s="7" t="s">
        <v>2897</v>
      </c>
      <c r="I14" s="7" t="s">
        <v>71</v>
      </c>
      <c r="J14" s="7" t="s">
        <v>72</v>
      </c>
      <c r="K14" s="7"/>
      <c r="L14" s="7"/>
    </row>
    <row r="15" spans="1:12" ht="34.5" customHeight="1" x14ac:dyDescent="0.2">
      <c r="A15" s="7" t="s">
        <v>2505</v>
      </c>
      <c r="B15" s="7" t="s">
        <v>2506</v>
      </c>
      <c r="C15" s="7" t="s">
        <v>2507</v>
      </c>
      <c r="D15" s="8"/>
      <c r="E15" s="8"/>
      <c r="F15" s="8"/>
      <c r="G15" s="7" t="s">
        <v>2881</v>
      </c>
      <c r="H15" s="7" t="s">
        <v>2898</v>
      </c>
      <c r="I15" s="7" t="s">
        <v>71</v>
      </c>
      <c r="J15" s="7" t="s">
        <v>72</v>
      </c>
      <c r="K15" s="7"/>
      <c r="L15" s="7"/>
    </row>
    <row r="16" spans="1:12" ht="34.5" customHeight="1" x14ac:dyDescent="0.2">
      <c r="A16" s="7" t="s">
        <v>2230</v>
      </c>
      <c r="B16" s="7" t="s">
        <v>2231</v>
      </c>
      <c r="C16" s="7" t="s">
        <v>2232</v>
      </c>
      <c r="D16" s="8"/>
      <c r="E16" s="8"/>
      <c r="F16" s="8"/>
      <c r="G16" s="7" t="s">
        <v>2881</v>
      </c>
      <c r="H16" s="7" t="s">
        <v>2899</v>
      </c>
      <c r="I16" s="7" t="s">
        <v>71</v>
      </c>
      <c r="J16" s="7" t="s">
        <v>72</v>
      </c>
      <c r="K16" s="7"/>
      <c r="L16" s="7"/>
    </row>
    <row r="17" spans="1:12" ht="23.25" customHeight="1" x14ac:dyDescent="0.2">
      <c r="A17" s="7" t="s">
        <v>2233</v>
      </c>
      <c r="B17" s="7" t="s">
        <v>2234</v>
      </c>
      <c r="C17" s="7" t="s">
        <v>2235</v>
      </c>
      <c r="D17" s="8"/>
      <c r="E17" s="8"/>
      <c r="F17" s="8"/>
      <c r="G17" s="7" t="s">
        <v>2881</v>
      </c>
      <c r="H17" s="7" t="s">
        <v>2900</v>
      </c>
      <c r="I17" s="7" t="s">
        <v>71</v>
      </c>
      <c r="J17" s="7" t="s">
        <v>72</v>
      </c>
      <c r="K17" s="7"/>
      <c r="L17" s="7"/>
    </row>
    <row r="18" spans="1:12" ht="34.5" customHeight="1" x14ac:dyDescent="0.2">
      <c r="A18" s="7" t="s">
        <v>2236</v>
      </c>
      <c r="B18" s="7" t="s">
        <v>2237</v>
      </c>
      <c r="C18" s="7" t="s">
        <v>2238</v>
      </c>
      <c r="D18" s="8" t="s">
        <v>67</v>
      </c>
      <c r="E18" s="8" t="s">
        <v>67</v>
      </c>
      <c r="F18" s="8" t="s">
        <v>67</v>
      </c>
      <c r="G18" s="7" t="s">
        <v>2901</v>
      </c>
      <c r="H18" s="7" t="s">
        <v>2902</v>
      </c>
      <c r="I18" s="7" t="s">
        <v>71</v>
      </c>
      <c r="J18" s="7" t="s">
        <v>72</v>
      </c>
      <c r="K18" s="7"/>
      <c r="L18" s="7"/>
    </row>
    <row r="19" spans="1:12" ht="34.5" customHeight="1" x14ac:dyDescent="0.2">
      <c r="A19" s="7" t="s">
        <v>2239</v>
      </c>
      <c r="B19" s="7" t="s">
        <v>2240</v>
      </c>
      <c r="C19" s="7" t="s">
        <v>2241</v>
      </c>
      <c r="D19" s="8" t="s">
        <v>67</v>
      </c>
      <c r="E19" s="8" t="s">
        <v>67</v>
      </c>
      <c r="F19" s="8" t="s">
        <v>67</v>
      </c>
      <c r="G19" s="7" t="s">
        <v>2903</v>
      </c>
      <c r="H19" s="7" t="s">
        <v>2904</v>
      </c>
      <c r="I19" s="7" t="s">
        <v>71</v>
      </c>
      <c r="J19" s="7" t="s">
        <v>72</v>
      </c>
      <c r="K19" s="7"/>
      <c r="L19" s="7"/>
    </row>
    <row r="20" spans="1:12" ht="23.25" customHeight="1" x14ac:dyDescent="0.2">
      <c r="A20" s="7" t="s">
        <v>2242</v>
      </c>
      <c r="B20" s="7" t="s">
        <v>2243</v>
      </c>
      <c r="C20" s="7" t="s">
        <v>2244</v>
      </c>
      <c r="D20" s="8" t="s">
        <v>67</v>
      </c>
      <c r="E20" s="8" t="s">
        <v>67</v>
      </c>
      <c r="F20" s="8" t="s">
        <v>67</v>
      </c>
      <c r="G20" s="7" t="s">
        <v>2905</v>
      </c>
      <c r="H20" s="7" t="s">
        <v>2906</v>
      </c>
      <c r="I20" s="7" t="s">
        <v>71</v>
      </c>
      <c r="J20" s="7" t="s">
        <v>72</v>
      </c>
      <c r="K20" s="7"/>
      <c r="L20" s="7"/>
    </row>
    <row r="21" spans="1:12" ht="23.25" customHeight="1" x14ac:dyDescent="0.2">
      <c r="A21" s="7" t="s">
        <v>2508</v>
      </c>
      <c r="B21" s="7" t="s">
        <v>2509</v>
      </c>
      <c r="C21" s="7" t="s">
        <v>2510</v>
      </c>
      <c r="D21" s="8"/>
      <c r="E21" s="8"/>
      <c r="F21" s="8"/>
      <c r="G21" s="7" t="s">
        <v>2881</v>
      </c>
      <c r="H21" s="7" t="s">
        <v>2907</v>
      </c>
      <c r="I21" s="7" t="s">
        <v>71</v>
      </c>
      <c r="J21" s="7" t="s">
        <v>72</v>
      </c>
      <c r="K21" s="7"/>
      <c r="L21" s="7"/>
    </row>
    <row r="22" spans="1:12" ht="34.5" customHeight="1" x14ac:dyDescent="0.2">
      <c r="A22" s="7" t="s">
        <v>2245</v>
      </c>
      <c r="B22" s="7" t="s">
        <v>2246</v>
      </c>
      <c r="C22" s="7" t="s">
        <v>2247</v>
      </c>
      <c r="D22" s="8" t="s">
        <v>67</v>
      </c>
      <c r="E22" s="8" t="s">
        <v>67</v>
      </c>
      <c r="F22" s="8" t="s">
        <v>67</v>
      </c>
      <c r="G22" s="7" t="s">
        <v>2908</v>
      </c>
      <c r="H22" s="7" t="s">
        <v>2909</v>
      </c>
      <c r="I22" s="7" t="s">
        <v>71</v>
      </c>
      <c r="J22" s="7" t="s">
        <v>72</v>
      </c>
      <c r="K22" s="7"/>
      <c r="L22" s="7"/>
    </row>
    <row r="23" spans="1:12" ht="45.75" customHeight="1" x14ac:dyDescent="0.2">
      <c r="A23" s="7" t="s">
        <v>2248</v>
      </c>
      <c r="B23" s="7" t="s">
        <v>2249</v>
      </c>
      <c r="C23" s="7" t="s">
        <v>2910</v>
      </c>
      <c r="D23" s="8" t="s">
        <v>67</v>
      </c>
      <c r="E23" s="8" t="s">
        <v>67</v>
      </c>
      <c r="F23" s="8" t="s">
        <v>67</v>
      </c>
      <c r="G23" s="7" t="s">
        <v>2911</v>
      </c>
      <c r="H23" s="7" t="s">
        <v>2912</v>
      </c>
      <c r="I23" s="7" t="s">
        <v>71</v>
      </c>
      <c r="J23" s="7" t="s">
        <v>72</v>
      </c>
      <c r="K23" s="7"/>
      <c r="L23" s="7"/>
    </row>
    <row r="24" spans="1:12" ht="15" customHeight="1" x14ac:dyDescent="0.2">
      <c r="A24" s="6" t="s">
        <v>2913</v>
      </c>
      <c r="B24" s="6" t="s">
        <v>2914</v>
      </c>
      <c r="C24" s="6"/>
      <c r="D24" s="6"/>
      <c r="E24" s="6"/>
      <c r="F24" s="6"/>
      <c r="G24" s="6"/>
      <c r="H24" s="6"/>
      <c r="I24" s="6"/>
      <c r="J24" s="6"/>
      <c r="K24" s="6"/>
      <c r="L24" s="6"/>
    </row>
    <row r="25" spans="1:12" ht="34.5" customHeight="1" x14ac:dyDescent="0.2">
      <c r="A25" s="7" t="s">
        <v>2251</v>
      </c>
      <c r="B25" s="7" t="s">
        <v>2252</v>
      </c>
      <c r="C25" s="7" t="s">
        <v>2253</v>
      </c>
      <c r="D25" s="8"/>
      <c r="E25" s="8"/>
      <c r="F25" s="8"/>
      <c r="G25" s="7" t="s">
        <v>2881</v>
      </c>
      <c r="H25" s="7" t="s">
        <v>2915</v>
      </c>
      <c r="I25" s="7" t="s">
        <v>71</v>
      </c>
      <c r="J25" s="7" t="s">
        <v>72</v>
      </c>
      <c r="K25" s="7"/>
      <c r="L25" s="7"/>
    </row>
    <row r="26" spans="1:12" ht="34.5" customHeight="1" x14ac:dyDescent="0.2">
      <c r="A26" s="7" t="s">
        <v>2254</v>
      </c>
      <c r="B26" s="7" t="s">
        <v>2255</v>
      </c>
      <c r="C26" s="7" t="s">
        <v>2256</v>
      </c>
      <c r="D26" s="8"/>
      <c r="E26" s="8"/>
      <c r="F26" s="8"/>
      <c r="G26" s="7" t="s">
        <v>2881</v>
      </c>
      <c r="H26" s="7" t="s">
        <v>2916</v>
      </c>
      <c r="I26" s="7" t="s">
        <v>71</v>
      </c>
      <c r="J26" s="7" t="s">
        <v>72</v>
      </c>
      <c r="K26" s="7"/>
      <c r="L26" s="7"/>
    </row>
    <row r="27" spans="1:12" ht="23.25" customHeight="1" x14ac:dyDescent="0.2">
      <c r="A27" s="7" t="s">
        <v>2511</v>
      </c>
      <c r="B27" s="7" t="s">
        <v>2512</v>
      </c>
      <c r="C27" s="7" t="s">
        <v>2513</v>
      </c>
      <c r="D27" s="8"/>
      <c r="E27" s="8"/>
      <c r="F27" s="8"/>
      <c r="G27" s="7" t="s">
        <v>2881</v>
      </c>
      <c r="H27" s="7" t="s">
        <v>2917</v>
      </c>
      <c r="I27" s="7" t="s">
        <v>71</v>
      </c>
      <c r="J27" s="7" t="s">
        <v>72</v>
      </c>
      <c r="K27" s="7"/>
      <c r="L27" s="7"/>
    </row>
    <row r="28" spans="1:12" ht="34.5" customHeight="1" x14ac:dyDescent="0.2">
      <c r="A28" s="7" t="s">
        <v>2514</v>
      </c>
      <c r="B28" s="7" t="s">
        <v>2515</v>
      </c>
      <c r="C28" s="7" t="s">
        <v>2516</v>
      </c>
      <c r="D28" s="8"/>
      <c r="E28" s="8"/>
      <c r="F28" s="8"/>
      <c r="G28" s="7" t="s">
        <v>2881</v>
      </c>
      <c r="H28" s="7" t="s">
        <v>2918</v>
      </c>
      <c r="I28" s="7" t="s">
        <v>71</v>
      </c>
      <c r="J28" s="7" t="s">
        <v>72</v>
      </c>
      <c r="K28" s="7"/>
      <c r="L28" s="7"/>
    </row>
    <row r="29" spans="1:12" ht="45.75" customHeight="1" x14ac:dyDescent="0.2">
      <c r="A29" s="7" t="s">
        <v>2199</v>
      </c>
      <c r="B29" s="7" t="s">
        <v>2200</v>
      </c>
      <c r="C29" s="7" t="s">
        <v>2919</v>
      </c>
      <c r="D29" s="8"/>
      <c r="E29" s="8"/>
      <c r="F29" s="8"/>
      <c r="G29" s="7" t="s">
        <v>2881</v>
      </c>
      <c r="H29" s="7" t="s">
        <v>2920</v>
      </c>
      <c r="I29" s="7" t="s">
        <v>71</v>
      </c>
      <c r="J29" s="7" t="s">
        <v>72</v>
      </c>
      <c r="K29" s="7"/>
      <c r="L29" s="7"/>
    </row>
    <row r="30" spans="1:12" ht="57" customHeight="1" x14ac:dyDescent="0.2">
      <c r="A30" s="7" t="s">
        <v>2273</v>
      </c>
      <c r="B30" s="7" t="s">
        <v>2274</v>
      </c>
      <c r="C30" s="7" t="s">
        <v>2921</v>
      </c>
      <c r="D30" s="8"/>
      <c r="E30" s="8"/>
      <c r="F30" s="8"/>
      <c r="G30" s="7" t="s">
        <v>2881</v>
      </c>
      <c r="H30" s="7" t="s">
        <v>2922</v>
      </c>
      <c r="I30" s="7" t="s">
        <v>71</v>
      </c>
      <c r="J30" s="7" t="s">
        <v>72</v>
      </c>
      <c r="K30" s="7"/>
      <c r="L30" s="7"/>
    </row>
  </sheetData>
  <autoFilter ref="A3:L30" xr:uid="{00000000-0009-0000-0000-000014000000}"/>
  <conditionalFormatting sqref="J4:J30">
    <cfRule type="cellIs" dxfId="11" priority="2" operator="equal">
      <formula>"Implemented"</formula>
    </cfRule>
    <cfRule type="cellIs" dxfId="10" priority="3" operator="equal">
      <formula>"Verified"</formula>
    </cfRule>
    <cfRule type="cellIs" dxfId="9" priority="4" operator="equal">
      <formula>"In progress"</formula>
    </cfRule>
  </conditionalFormatting>
  <dataValidations count="2">
    <dataValidation type="list" allowBlank="1" sqref="I4:I30" xr:uid="{00000000-0002-0000-1400-000000000000}">
      <formula1>"Yes,No"</formula1>
      <formula2>0</formula2>
    </dataValidation>
    <dataValidation type="list" allowBlank="1" sqref="J4:J30" xr:uid="{00000000-0002-0000-1400-000001000000}">
      <formula1>"Not started,In progress,Implemented,Verified,Not applicable"</formula1>
      <formula2>0</formula2>
    </dataValidation>
  </dataValidations>
  <pageMargins left="0.75" right="0.75" top="1" bottom="1" header="0.511811023622047" footer="0.511811023622047"/>
  <pageSetup fitToHeight="0" orientation="landscape"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Q51"/>
  <sheetViews>
    <sheetView zoomScaleNormal="100" workbookViewId="0">
      <pane xSplit="2" ySplit="24" topLeftCell="C25" activePane="bottomRight" state="frozen"/>
      <selection pane="topRight" activeCell="C1" sqref="C1"/>
      <selection pane="bottomLeft" activeCell="A25" sqref="A25"/>
      <selection pane="bottomRight"/>
    </sheetView>
  </sheetViews>
  <sheetFormatPr baseColWidth="10" defaultColWidth="8.6640625" defaultRowHeight="15" x14ac:dyDescent="0.2"/>
  <cols>
    <col min="1" max="1" width="10" customWidth="1"/>
    <col min="2" max="2" width="20" customWidth="1"/>
    <col min="3" max="3" width="24" customWidth="1"/>
    <col min="4" max="4" width="26" customWidth="1"/>
    <col min="5" max="5" width="22" customWidth="1"/>
    <col min="6" max="6" width="20" customWidth="1"/>
    <col min="7" max="7" width="30" customWidth="1"/>
    <col min="8" max="8" width="34" customWidth="1"/>
    <col min="9" max="9" width="16" customWidth="1"/>
    <col min="10" max="10" width="20" customWidth="1"/>
    <col min="11" max="11" width="18" customWidth="1"/>
    <col min="12" max="12" width="24" customWidth="1"/>
    <col min="13" max="14" width="26" customWidth="1"/>
    <col min="15" max="15" width="16" customWidth="1"/>
    <col min="16" max="16" width="13" customWidth="1"/>
    <col min="17" max="17" width="14" customWidth="1"/>
  </cols>
  <sheetData>
    <row r="1" spans="1:3" ht="17.25" customHeight="1" x14ac:dyDescent="0.2">
      <c r="A1" s="3" t="s">
        <v>2923</v>
      </c>
    </row>
    <row r="2" spans="1:3" ht="247.5" customHeight="1" x14ac:dyDescent="0.2">
      <c r="A2" s="39" t="s">
        <v>2924</v>
      </c>
    </row>
    <row r="4" spans="1:3" ht="15" customHeight="1" x14ac:dyDescent="0.2">
      <c r="A4" s="15" t="s">
        <v>2925</v>
      </c>
    </row>
    <row r="5" spans="1:3" ht="23.25" customHeight="1" x14ac:dyDescent="0.2">
      <c r="A5" s="40" t="s">
        <v>2926</v>
      </c>
      <c r="B5" s="40" t="s">
        <v>2927</v>
      </c>
      <c r="C5" s="40" t="s">
        <v>2928</v>
      </c>
    </row>
    <row r="6" spans="1:3" ht="31.5" customHeight="1" x14ac:dyDescent="0.2">
      <c r="A6" s="41" t="s">
        <v>2929</v>
      </c>
      <c r="B6" s="42" t="s">
        <v>2930</v>
      </c>
      <c r="C6" s="43" t="s">
        <v>2931</v>
      </c>
    </row>
    <row r="7" spans="1:3" ht="31.5" customHeight="1" x14ac:dyDescent="0.2">
      <c r="A7" s="41" t="s">
        <v>2932</v>
      </c>
      <c r="B7" s="42" t="s">
        <v>2930</v>
      </c>
      <c r="C7" s="43" t="s">
        <v>2933</v>
      </c>
    </row>
    <row r="8" spans="1:3" ht="31.5" customHeight="1" x14ac:dyDescent="0.2">
      <c r="A8" s="41" t="s">
        <v>2934</v>
      </c>
      <c r="B8" s="42" t="s">
        <v>2935</v>
      </c>
      <c r="C8" s="43" t="s">
        <v>2936</v>
      </c>
    </row>
    <row r="9" spans="1:3" ht="31.5" customHeight="1" x14ac:dyDescent="0.2">
      <c r="A9" s="41" t="s">
        <v>2937</v>
      </c>
      <c r="B9" s="42" t="s">
        <v>2938</v>
      </c>
      <c r="C9" s="43" t="s">
        <v>2939</v>
      </c>
    </row>
    <row r="10" spans="1:3" ht="31.5" customHeight="1" x14ac:dyDescent="0.2">
      <c r="A10" s="41" t="s">
        <v>2940</v>
      </c>
      <c r="B10" s="42" t="s">
        <v>2941</v>
      </c>
      <c r="C10" s="43" t="s">
        <v>2942</v>
      </c>
    </row>
    <row r="11" spans="1:3" ht="31.5" customHeight="1" x14ac:dyDescent="0.2">
      <c r="A11" s="41" t="s">
        <v>2943</v>
      </c>
      <c r="B11" s="42" t="s">
        <v>2944</v>
      </c>
      <c r="C11" s="43" t="s">
        <v>2945</v>
      </c>
    </row>
    <row r="12" spans="1:3" ht="31.5" customHeight="1" x14ac:dyDescent="0.2">
      <c r="A12" s="41" t="s">
        <v>2946</v>
      </c>
      <c r="B12" s="42" t="s">
        <v>2947</v>
      </c>
      <c r="C12" s="43" t="s">
        <v>2948</v>
      </c>
    </row>
    <row r="13" spans="1:3" ht="31.5" customHeight="1" x14ac:dyDescent="0.2">
      <c r="A13" s="41" t="s">
        <v>2949</v>
      </c>
      <c r="B13" s="42" t="s">
        <v>2950</v>
      </c>
      <c r="C13" s="43" t="s">
        <v>2951</v>
      </c>
    </row>
    <row r="14" spans="1:3" ht="31.5" customHeight="1" x14ac:dyDescent="0.2">
      <c r="A14" s="41" t="s">
        <v>2952</v>
      </c>
      <c r="B14" s="42" t="s">
        <v>2953</v>
      </c>
      <c r="C14" s="43" t="s">
        <v>2954</v>
      </c>
    </row>
    <row r="15" spans="1:3" ht="31.5" customHeight="1" x14ac:dyDescent="0.2">
      <c r="A15" s="41" t="s">
        <v>2955</v>
      </c>
      <c r="B15" s="42" t="s">
        <v>2956</v>
      </c>
      <c r="C15" s="43" t="s">
        <v>2957</v>
      </c>
    </row>
    <row r="16" spans="1:3" ht="31.5" customHeight="1" x14ac:dyDescent="0.2">
      <c r="A16" s="41" t="s">
        <v>2958</v>
      </c>
      <c r="B16" s="42" t="s">
        <v>2959</v>
      </c>
      <c r="C16" s="43" t="s">
        <v>2960</v>
      </c>
    </row>
    <row r="17" spans="1:17" ht="31.5" customHeight="1" x14ac:dyDescent="0.2">
      <c r="A17" s="41" t="s">
        <v>2961</v>
      </c>
      <c r="B17" s="42" t="s">
        <v>2962</v>
      </c>
      <c r="C17" s="43" t="s">
        <v>2963</v>
      </c>
    </row>
    <row r="18" spans="1:17" ht="31.5" customHeight="1" x14ac:dyDescent="0.2">
      <c r="A18" s="41" t="s">
        <v>2964</v>
      </c>
      <c r="B18" s="42" t="s">
        <v>2965</v>
      </c>
      <c r="C18" s="43" t="s">
        <v>2966</v>
      </c>
    </row>
    <row r="19" spans="1:17" ht="31.5" customHeight="1" x14ac:dyDescent="0.2">
      <c r="A19" s="41" t="s">
        <v>2967</v>
      </c>
      <c r="B19" s="42" t="s">
        <v>2935</v>
      </c>
      <c r="C19" s="43" t="s">
        <v>2968</v>
      </c>
    </row>
    <row r="20" spans="1:17" ht="31.5" customHeight="1" x14ac:dyDescent="0.2">
      <c r="A20" s="41" t="s">
        <v>2969</v>
      </c>
      <c r="B20" s="42" t="s">
        <v>2935</v>
      </c>
      <c r="C20" s="43" t="s">
        <v>2970</v>
      </c>
    </row>
    <row r="21" spans="1:17" ht="31.5" customHeight="1" x14ac:dyDescent="0.2">
      <c r="A21" s="41" t="s">
        <v>59</v>
      </c>
      <c r="B21" s="42" t="s">
        <v>2935</v>
      </c>
      <c r="C21" s="43" t="s">
        <v>2971</v>
      </c>
    </row>
    <row r="23" spans="1:17" ht="15" customHeight="1" x14ac:dyDescent="0.2">
      <c r="A23" s="44" t="s">
        <v>2972</v>
      </c>
    </row>
    <row r="24" spans="1:17" ht="34.5" customHeight="1" x14ac:dyDescent="0.2">
      <c r="A24" s="45" t="s">
        <v>2973</v>
      </c>
      <c r="B24" s="45" t="s">
        <v>2929</v>
      </c>
      <c r="C24" s="45" t="s">
        <v>2932</v>
      </c>
      <c r="D24" s="45" t="s">
        <v>2934</v>
      </c>
      <c r="E24" s="45" t="s">
        <v>2937</v>
      </c>
      <c r="F24" s="45" t="s">
        <v>2940</v>
      </c>
      <c r="G24" s="45" t="s">
        <v>2943</v>
      </c>
      <c r="H24" s="45" t="s">
        <v>2946</v>
      </c>
      <c r="I24" s="45" t="s">
        <v>2949</v>
      </c>
      <c r="J24" s="45" t="s">
        <v>2952</v>
      </c>
      <c r="K24" s="45" t="s">
        <v>2955</v>
      </c>
      <c r="L24" s="45" t="s">
        <v>2958</v>
      </c>
      <c r="M24" s="45" t="s">
        <v>2961</v>
      </c>
      <c r="N24" s="45" t="s">
        <v>2964</v>
      </c>
      <c r="O24" s="45" t="s">
        <v>2967</v>
      </c>
      <c r="P24" s="45" t="s">
        <v>2969</v>
      </c>
      <c r="Q24" s="45" t="s">
        <v>59</v>
      </c>
    </row>
    <row r="25" spans="1:17" ht="60" customHeight="1" x14ac:dyDescent="0.2">
      <c r="A25" s="46" t="s">
        <v>2974</v>
      </c>
      <c r="B25" s="46" t="s">
        <v>2975</v>
      </c>
      <c r="C25" s="46" t="s">
        <v>2976</v>
      </c>
      <c r="D25" s="46" t="s">
        <v>2977</v>
      </c>
      <c r="E25" s="46" t="s">
        <v>2978</v>
      </c>
      <c r="F25" s="46" t="s">
        <v>2979</v>
      </c>
      <c r="G25" s="46" t="s">
        <v>2980</v>
      </c>
      <c r="H25" s="46" t="s">
        <v>2981</v>
      </c>
      <c r="I25" s="46" t="s">
        <v>2982</v>
      </c>
      <c r="J25" s="46" t="s">
        <v>2983</v>
      </c>
      <c r="K25" s="46" t="s">
        <v>2984</v>
      </c>
      <c r="L25" s="46" t="s">
        <v>2985</v>
      </c>
      <c r="M25" s="46" t="s">
        <v>2986</v>
      </c>
      <c r="N25" s="46" t="s">
        <v>2987</v>
      </c>
      <c r="O25" s="46" t="s">
        <v>2988</v>
      </c>
      <c r="P25" s="46" t="s">
        <v>2989</v>
      </c>
      <c r="Q25" s="46" t="s">
        <v>2990</v>
      </c>
    </row>
    <row r="26" spans="1:17" ht="60" customHeight="1" x14ac:dyDescent="0.2">
      <c r="A26" s="46" t="s">
        <v>2991</v>
      </c>
      <c r="B26" s="46" t="s">
        <v>2992</v>
      </c>
      <c r="C26" s="46" t="s">
        <v>2993</v>
      </c>
      <c r="D26" s="46" t="s">
        <v>2994</v>
      </c>
      <c r="E26" s="46" t="s">
        <v>2995</v>
      </c>
      <c r="F26" s="46" t="s">
        <v>2996</v>
      </c>
      <c r="G26" s="46" t="s">
        <v>2997</v>
      </c>
      <c r="H26" s="46" t="s">
        <v>2998</v>
      </c>
      <c r="I26" s="46" t="s">
        <v>2999</v>
      </c>
      <c r="J26" s="46" t="s">
        <v>3000</v>
      </c>
      <c r="K26" s="46" t="s">
        <v>3001</v>
      </c>
      <c r="L26" s="46" t="s">
        <v>3002</v>
      </c>
      <c r="M26" s="46" t="s">
        <v>3003</v>
      </c>
      <c r="N26" s="46" t="s">
        <v>3004</v>
      </c>
      <c r="O26" s="46" t="s">
        <v>3005</v>
      </c>
      <c r="P26" s="46" t="s">
        <v>3006</v>
      </c>
      <c r="Q26" s="46" t="s">
        <v>2990</v>
      </c>
    </row>
    <row r="27" spans="1:17" ht="15" customHeight="1" x14ac:dyDescent="0.2">
      <c r="A27" s="47"/>
      <c r="B27" s="47"/>
      <c r="C27" s="47"/>
      <c r="D27" s="47"/>
      <c r="E27" s="47"/>
      <c r="F27" s="47"/>
      <c r="G27" s="47"/>
      <c r="H27" s="47"/>
      <c r="I27" s="47"/>
      <c r="J27" s="47"/>
      <c r="K27" s="47"/>
      <c r="L27" s="47"/>
      <c r="M27" s="47"/>
      <c r="N27" s="47"/>
      <c r="O27" s="47"/>
      <c r="P27" s="47"/>
      <c r="Q27" s="47"/>
    </row>
    <row r="28" spans="1:17" ht="15" customHeight="1" x14ac:dyDescent="0.2">
      <c r="A28" s="47"/>
      <c r="B28" s="47"/>
      <c r="C28" s="47"/>
      <c r="D28" s="47"/>
      <c r="E28" s="47"/>
      <c r="F28" s="47"/>
      <c r="G28" s="47"/>
      <c r="H28" s="47"/>
      <c r="I28" s="47"/>
      <c r="J28" s="47"/>
      <c r="K28" s="47"/>
      <c r="L28" s="47"/>
      <c r="M28" s="47"/>
      <c r="N28" s="47"/>
      <c r="O28" s="47"/>
      <c r="P28" s="47"/>
      <c r="Q28" s="47"/>
    </row>
    <row r="29" spans="1:17" ht="15" customHeight="1" x14ac:dyDescent="0.2">
      <c r="A29" s="47"/>
      <c r="B29" s="47"/>
      <c r="C29" s="47"/>
      <c r="D29" s="47"/>
      <c r="E29" s="47"/>
      <c r="F29" s="47"/>
      <c r="G29" s="47"/>
      <c r="H29" s="47"/>
      <c r="I29" s="47"/>
      <c r="J29" s="47"/>
      <c r="K29" s="47"/>
      <c r="L29" s="47"/>
      <c r="M29" s="47"/>
      <c r="N29" s="47"/>
      <c r="O29" s="47"/>
      <c r="P29" s="47"/>
      <c r="Q29" s="47"/>
    </row>
    <row r="30" spans="1:17" ht="15" customHeight="1" x14ac:dyDescent="0.2">
      <c r="A30" s="47"/>
      <c r="B30" s="47"/>
      <c r="C30" s="47"/>
      <c r="D30" s="47"/>
      <c r="E30" s="47"/>
      <c r="F30" s="47"/>
      <c r="G30" s="47"/>
      <c r="H30" s="47"/>
      <c r="I30" s="47"/>
      <c r="J30" s="47"/>
      <c r="K30" s="47"/>
      <c r="L30" s="47"/>
      <c r="M30" s="47"/>
      <c r="N30" s="47"/>
      <c r="O30" s="47"/>
      <c r="P30" s="47"/>
      <c r="Q30" s="47"/>
    </row>
    <row r="31" spans="1:17" ht="15" customHeight="1" x14ac:dyDescent="0.2">
      <c r="A31" s="47"/>
      <c r="B31" s="47"/>
      <c r="C31" s="47"/>
      <c r="D31" s="47"/>
      <c r="E31" s="47"/>
      <c r="F31" s="47"/>
      <c r="G31" s="47"/>
      <c r="H31" s="47"/>
      <c r="I31" s="47"/>
      <c r="J31" s="47"/>
      <c r="K31" s="47"/>
      <c r="L31" s="47"/>
      <c r="M31" s="47"/>
      <c r="N31" s="47"/>
      <c r="O31" s="47"/>
      <c r="P31" s="47"/>
      <c r="Q31" s="47"/>
    </row>
    <row r="32" spans="1:17" ht="15" customHeight="1" x14ac:dyDescent="0.2">
      <c r="A32" s="47"/>
      <c r="B32" s="47"/>
      <c r="C32" s="47"/>
      <c r="D32" s="47"/>
      <c r="E32" s="47"/>
      <c r="F32" s="47"/>
      <c r="G32" s="47"/>
      <c r="H32" s="47"/>
      <c r="I32" s="47"/>
      <c r="J32" s="47"/>
      <c r="K32" s="47"/>
      <c r="L32" s="47"/>
      <c r="M32" s="47"/>
      <c r="N32" s="47"/>
      <c r="O32" s="47"/>
      <c r="P32" s="47"/>
      <c r="Q32" s="47"/>
    </row>
    <row r="33" spans="1:17" ht="15" customHeight="1" x14ac:dyDescent="0.2">
      <c r="A33" s="47"/>
      <c r="B33" s="47"/>
      <c r="C33" s="47"/>
      <c r="D33" s="47"/>
      <c r="E33" s="47"/>
      <c r="F33" s="47"/>
      <c r="G33" s="47"/>
      <c r="H33" s="47"/>
      <c r="I33" s="47"/>
      <c r="J33" s="47"/>
      <c r="K33" s="47"/>
      <c r="L33" s="47"/>
      <c r="M33" s="47"/>
      <c r="N33" s="47"/>
      <c r="O33" s="47"/>
      <c r="P33" s="47"/>
      <c r="Q33" s="47"/>
    </row>
    <row r="34" spans="1:17" ht="15" customHeight="1" x14ac:dyDescent="0.2">
      <c r="A34" s="47"/>
      <c r="B34" s="47"/>
      <c r="C34" s="47"/>
      <c r="D34" s="47"/>
      <c r="E34" s="47"/>
      <c r="F34" s="47"/>
      <c r="G34" s="47"/>
      <c r="H34" s="47"/>
      <c r="I34" s="47"/>
      <c r="J34" s="47"/>
      <c r="K34" s="47"/>
      <c r="L34" s="47"/>
      <c r="M34" s="47"/>
      <c r="N34" s="47"/>
      <c r="O34" s="47"/>
      <c r="P34" s="47"/>
      <c r="Q34" s="47"/>
    </row>
    <row r="35" spans="1:17" ht="15" customHeight="1" x14ac:dyDescent="0.2">
      <c r="A35" s="47"/>
      <c r="B35" s="47"/>
      <c r="C35" s="47"/>
      <c r="D35" s="47"/>
      <c r="E35" s="47"/>
      <c r="F35" s="47"/>
      <c r="G35" s="47"/>
      <c r="H35" s="47"/>
      <c r="I35" s="47"/>
      <c r="J35" s="47"/>
      <c r="K35" s="47"/>
      <c r="L35" s="47"/>
      <c r="M35" s="47"/>
      <c r="N35" s="47"/>
      <c r="O35" s="47"/>
      <c r="P35" s="47"/>
      <c r="Q35" s="47"/>
    </row>
    <row r="36" spans="1:17" ht="15" customHeight="1" x14ac:dyDescent="0.2">
      <c r="A36" s="47"/>
      <c r="B36" s="47"/>
      <c r="C36" s="47"/>
      <c r="D36" s="47"/>
      <c r="E36" s="47"/>
      <c r="F36" s="47"/>
      <c r="G36" s="47"/>
      <c r="H36" s="47"/>
      <c r="I36" s="47"/>
      <c r="J36" s="47"/>
      <c r="K36" s="47"/>
      <c r="L36" s="47"/>
      <c r="M36" s="47"/>
      <c r="N36" s="47"/>
      <c r="O36" s="47"/>
      <c r="P36" s="47"/>
      <c r="Q36" s="47"/>
    </row>
    <row r="37" spans="1:17" ht="15" customHeight="1" x14ac:dyDescent="0.2">
      <c r="A37" s="47"/>
      <c r="B37" s="47"/>
      <c r="C37" s="47"/>
      <c r="D37" s="47"/>
      <c r="E37" s="47"/>
      <c r="F37" s="47"/>
      <c r="G37" s="47"/>
      <c r="H37" s="47"/>
      <c r="I37" s="47"/>
      <c r="J37" s="47"/>
      <c r="K37" s="47"/>
      <c r="L37" s="47"/>
      <c r="M37" s="47"/>
      <c r="N37" s="47"/>
      <c r="O37" s="47"/>
      <c r="P37" s="47"/>
      <c r="Q37" s="47"/>
    </row>
    <row r="38" spans="1:17" ht="15" customHeight="1" x14ac:dyDescent="0.2">
      <c r="A38" s="47"/>
      <c r="B38" s="47"/>
      <c r="C38" s="47"/>
      <c r="D38" s="47"/>
      <c r="E38" s="47"/>
      <c r="F38" s="47"/>
      <c r="G38" s="47"/>
      <c r="H38" s="47"/>
      <c r="I38" s="47"/>
      <c r="J38" s="47"/>
      <c r="K38" s="47"/>
      <c r="L38" s="47"/>
      <c r="M38" s="47"/>
      <c r="N38" s="47"/>
      <c r="O38" s="47"/>
      <c r="P38" s="47"/>
      <c r="Q38" s="47"/>
    </row>
    <row r="39" spans="1:17" ht="15" customHeight="1" x14ac:dyDescent="0.2">
      <c r="A39" s="47"/>
      <c r="B39" s="47"/>
      <c r="C39" s="47"/>
      <c r="D39" s="47"/>
      <c r="E39" s="47"/>
      <c r="F39" s="47"/>
      <c r="G39" s="47"/>
      <c r="H39" s="47"/>
      <c r="I39" s="47"/>
      <c r="J39" s="47"/>
      <c r="K39" s="47"/>
      <c r="L39" s="47"/>
      <c r="M39" s="47"/>
      <c r="N39" s="47"/>
      <c r="O39" s="47"/>
      <c r="P39" s="47"/>
      <c r="Q39" s="47"/>
    </row>
    <row r="40" spans="1:17" ht="15" customHeight="1" x14ac:dyDescent="0.2">
      <c r="A40" s="47"/>
      <c r="B40" s="47"/>
      <c r="C40" s="47"/>
      <c r="D40" s="47"/>
      <c r="E40" s="47"/>
      <c r="F40" s="47"/>
      <c r="G40" s="47"/>
      <c r="H40" s="47"/>
      <c r="I40" s="47"/>
      <c r="J40" s="47"/>
      <c r="K40" s="47"/>
      <c r="L40" s="47"/>
      <c r="M40" s="47"/>
      <c r="N40" s="47"/>
      <c r="O40" s="47"/>
      <c r="P40" s="47"/>
      <c r="Q40" s="47"/>
    </row>
    <row r="41" spans="1:17" ht="15" customHeight="1" x14ac:dyDescent="0.2">
      <c r="A41" s="47"/>
      <c r="B41" s="47"/>
      <c r="C41" s="47"/>
      <c r="D41" s="47"/>
      <c r="E41" s="47"/>
      <c r="F41" s="47"/>
      <c r="G41" s="47"/>
      <c r="H41" s="47"/>
      <c r="I41" s="47"/>
      <c r="J41" s="47"/>
      <c r="K41" s="47"/>
      <c r="L41" s="47"/>
      <c r="M41" s="47"/>
      <c r="N41" s="47"/>
      <c r="O41" s="47"/>
      <c r="P41" s="47"/>
      <c r="Q41" s="47"/>
    </row>
    <row r="42" spans="1:17" ht="15" customHeight="1" x14ac:dyDescent="0.2">
      <c r="A42" s="47"/>
      <c r="B42" s="47"/>
      <c r="C42" s="47"/>
      <c r="D42" s="47"/>
      <c r="E42" s="47"/>
      <c r="F42" s="47"/>
      <c r="G42" s="47"/>
      <c r="H42" s="47"/>
      <c r="I42" s="47"/>
      <c r="J42" s="47"/>
      <c r="K42" s="47"/>
      <c r="L42" s="47"/>
      <c r="M42" s="47"/>
      <c r="N42" s="47"/>
      <c r="O42" s="47"/>
      <c r="P42" s="47"/>
      <c r="Q42" s="47"/>
    </row>
    <row r="43" spans="1:17" ht="15" customHeight="1" x14ac:dyDescent="0.2">
      <c r="A43" s="47"/>
      <c r="B43" s="47"/>
      <c r="C43" s="47"/>
      <c r="D43" s="47"/>
      <c r="E43" s="47"/>
      <c r="F43" s="47"/>
      <c r="G43" s="47"/>
      <c r="H43" s="47"/>
      <c r="I43" s="47"/>
      <c r="J43" s="47"/>
      <c r="K43" s="47"/>
      <c r="L43" s="47"/>
      <c r="M43" s="47"/>
      <c r="N43" s="47"/>
      <c r="O43" s="47"/>
      <c r="P43" s="47"/>
      <c r="Q43" s="47"/>
    </row>
    <row r="44" spans="1:17" ht="15" customHeight="1" x14ac:dyDescent="0.2">
      <c r="A44" s="47"/>
      <c r="B44" s="47"/>
      <c r="C44" s="47"/>
      <c r="D44" s="47"/>
      <c r="E44" s="47"/>
      <c r="F44" s="47"/>
      <c r="G44" s="47"/>
      <c r="H44" s="47"/>
      <c r="I44" s="47"/>
      <c r="J44" s="47"/>
      <c r="K44" s="47"/>
      <c r="L44" s="47"/>
      <c r="M44" s="47"/>
      <c r="N44" s="47"/>
      <c r="O44" s="47"/>
      <c r="P44" s="47"/>
      <c r="Q44" s="47"/>
    </row>
    <row r="45" spans="1:17" ht="15" customHeight="1" x14ac:dyDescent="0.2">
      <c r="A45" s="47"/>
      <c r="B45" s="47"/>
      <c r="C45" s="47"/>
      <c r="D45" s="47"/>
      <c r="E45" s="47"/>
      <c r="F45" s="47"/>
      <c r="G45" s="47"/>
      <c r="H45" s="47"/>
      <c r="I45" s="47"/>
      <c r="J45" s="47"/>
      <c r="K45" s="47"/>
      <c r="L45" s="47"/>
      <c r="M45" s="47"/>
      <c r="N45" s="47"/>
      <c r="O45" s="47"/>
      <c r="P45" s="47"/>
      <c r="Q45" s="47"/>
    </row>
    <row r="46" spans="1:17" ht="15" customHeight="1" x14ac:dyDescent="0.2">
      <c r="A46" s="47"/>
      <c r="B46" s="47"/>
      <c r="C46" s="47"/>
      <c r="D46" s="47"/>
      <c r="E46" s="47"/>
      <c r="F46" s="47"/>
      <c r="G46" s="47"/>
      <c r="H46" s="47"/>
      <c r="I46" s="47"/>
      <c r="J46" s="47"/>
      <c r="K46" s="47"/>
      <c r="L46" s="47"/>
      <c r="M46" s="47"/>
      <c r="N46" s="47"/>
      <c r="O46" s="47"/>
      <c r="P46" s="47"/>
      <c r="Q46" s="47"/>
    </row>
    <row r="47" spans="1:17" ht="15" customHeight="1" x14ac:dyDescent="0.2">
      <c r="A47" s="47"/>
      <c r="B47" s="47"/>
      <c r="C47" s="47"/>
      <c r="D47" s="47"/>
      <c r="E47" s="47"/>
      <c r="F47" s="47"/>
      <c r="G47" s="47"/>
      <c r="H47" s="47"/>
      <c r="I47" s="47"/>
      <c r="J47" s="47"/>
      <c r="K47" s="47"/>
      <c r="L47" s="47"/>
      <c r="M47" s="47"/>
      <c r="N47" s="47"/>
      <c r="O47" s="47"/>
      <c r="P47" s="47"/>
      <c r="Q47" s="47"/>
    </row>
    <row r="48" spans="1:17" ht="15" customHeight="1" x14ac:dyDescent="0.2">
      <c r="A48" s="47"/>
      <c r="B48" s="47"/>
      <c r="C48" s="47"/>
      <c r="D48" s="47"/>
      <c r="E48" s="47"/>
      <c r="F48" s="47"/>
      <c r="G48" s="47"/>
      <c r="H48" s="47"/>
      <c r="I48" s="47"/>
      <c r="J48" s="47"/>
      <c r="K48" s="47"/>
      <c r="L48" s="47"/>
      <c r="M48" s="47"/>
      <c r="N48" s="47"/>
      <c r="O48" s="47"/>
      <c r="P48" s="47"/>
      <c r="Q48" s="47"/>
    </row>
    <row r="49" spans="1:17" ht="15" customHeight="1" x14ac:dyDescent="0.2">
      <c r="A49" s="47"/>
      <c r="B49" s="47"/>
      <c r="C49" s="47"/>
      <c r="D49" s="47"/>
      <c r="E49" s="47"/>
      <c r="F49" s="47"/>
      <c r="G49" s="47"/>
      <c r="H49" s="47"/>
      <c r="I49" s="47"/>
      <c r="J49" s="47"/>
      <c r="K49" s="47"/>
      <c r="L49" s="47"/>
      <c r="M49" s="47"/>
      <c r="N49" s="47"/>
      <c r="O49" s="47"/>
      <c r="P49" s="47"/>
      <c r="Q49" s="47"/>
    </row>
    <row r="50" spans="1:17" ht="15" customHeight="1" x14ac:dyDescent="0.2">
      <c r="A50" s="47"/>
      <c r="B50" s="47"/>
      <c r="C50" s="47"/>
      <c r="D50" s="47"/>
      <c r="E50" s="47"/>
      <c r="F50" s="47"/>
      <c r="G50" s="47"/>
      <c r="H50" s="47"/>
      <c r="I50" s="47"/>
      <c r="J50" s="47"/>
      <c r="K50" s="47"/>
      <c r="L50" s="47"/>
      <c r="M50" s="47"/>
      <c r="N50" s="47"/>
      <c r="O50" s="47"/>
      <c r="P50" s="47"/>
      <c r="Q50" s="47"/>
    </row>
    <row r="51" spans="1:17" ht="15" customHeight="1" x14ac:dyDescent="0.2">
      <c r="A51" s="47"/>
      <c r="B51" s="47"/>
      <c r="C51" s="47"/>
      <c r="D51" s="47"/>
      <c r="E51" s="47"/>
      <c r="F51" s="47"/>
      <c r="G51" s="47"/>
      <c r="H51" s="47"/>
      <c r="I51" s="47"/>
      <c r="J51" s="47"/>
      <c r="K51" s="47"/>
      <c r="L51" s="47"/>
      <c r="M51" s="47"/>
      <c r="N51" s="47"/>
      <c r="O51" s="47"/>
      <c r="P51" s="47"/>
      <c r="Q51" s="47"/>
    </row>
  </sheetData>
  <autoFilter ref="A24:Q51" xr:uid="{00000000-0009-0000-0000-000015000000}"/>
  <dataValidations count="2">
    <dataValidation type="list" allowBlank="1" sqref="K25:K51" xr:uid="{00000000-0002-0000-1500-000000000000}">
      <formula1>"Public,Internal,Confidential,Restricted"</formula1>
      <formula2>0</formula2>
    </dataValidation>
    <dataValidation type="list" allowBlank="1" sqref="Q25:Q51" xr:uid="{00000000-0002-0000-1500-000001000000}">
      <formula1>"Active,Under review,Deprecated,Scheduled for deletion"</formula1>
      <formula2>0</formula2>
    </dataValidation>
  </dataValidations>
  <pageMargins left="0.75" right="0.75" top="1" bottom="1" header="0.511811023622047" footer="0.511811023622047"/>
  <pageSetup fitToHeight="0" orientation="landscape"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L19"/>
  <sheetViews>
    <sheetView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5" x14ac:dyDescent="0.2"/>
  <cols>
    <col min="1" max="1" width="9" customWidth="1"/>
    <col min="2" max="2" width="42" customWidth="1"/>
    <col min="3" max="3" width="66" customWidth="1"/>
    <col min="4" max="6" width="5" customWidth="1"/>
    <col min="7" max="7" width="54" customWidth="1"/>
    <col min="8" max="8" width="42" customWidth="1"/>
    <col min="9" max="9" width="12" customWidth="1"/>
    <col min="10" max="11" width="14" customWidth="1"/>
    <col min="12" max="12" width="26" customWidth="1"/>
  </cols>
  <sheetData>
    <row r="1" spans="1:12" ht="15.75" customHeight="1" x14ac:dyDescent="0.2">
      <c r="A1" s="33" t="s">
        <v>3007</v>
      </c>
    </row>
    <row r="3" spans="1:12" ht="15" customHeight="1" x14ac:dyDescent="0.2">
      <c r="A3" s="48" t="s">
        <v>48</v>
      </c>
      <c r="B3" s="48" t="s">
        <v>50</v>
      </c>
      <c r="C3" s="48" t="s">
        <v>3008</v>
      </c>
      <c r="D3" s="48" t="s">
        <v>52</v>
      </c>
      <c r="E3" s="48" t="s">
        <v>53</v>
      </c>
      <c r="F3" s="48" t="s">
        <v>54</v>
      </c>
      <c r="G3" s="48" t="s">
        <v>999</v>
      </c>
      <c r="H3" s="48" t="s">
        <v>57</v>
      </c>
      <c r="I3" s="48" t="s">
        <v>545</v>
      </c>
      <c r="J3" s="48" t="s">
        <v>59</v>
      </c>
      <c r="K3" s="48" t="s">
        <v>60</v>
      </c>
      <c r="L3" s="48" t="s">
        <v>61</v>
      </c>
    </row>
    <row r="4" spans="1:12" ht="15" customHeight="1" x14ac:dyDescent="0.2">
      <c r="A4" s="6" t="s">
        <v>59</v>
      </c>
      <c r="B4" s="6" t="s">
        <v>3009</v>
      </c>
      <c r="C4" s="6"/>
      <c r="D4" s="6"/>
      <c r="E4" s="6"/>
      <c r="F4" s="6"/>
      <c r="G4" s="6"/>
      <c r="H4" s="6"/>
      <c r="I4" s="6"/>
      <c r="J4" s="6"/>
      <c r="K4" s="6"/>
      <c r="L4" s="6"/>
    </row>
    <row r="5" spans="1:12" ht="68.25" customHeight="1" x14ac:dyDescent="0.2">
      <c r="A5" s="7" t="s">
        <v>2106</v>
      </c>
      <c r="B5" s="7" t="s">
        <v>2396</v>
      </c>
      <c r="C5" s="7" t="s">
        <v>3010</v>
      </c>
      <c r="D5" s="8"/>
      <c r="E5" s="8"/>
      <c r="F5" s="8"/>
      <c r="G5" s="7" t="s">
        <v>3011</v>
      </c>
      <c r="H5" s="7" t="s">
        <v>3012</v>
      </c>
      <c r="I5" s="7" t="s">
        <v>71</v>
      </c>
      <c r="J5" s="7" t="s">
        <v>72</v>
      </c>
      <c r="K5" s="7"/>
      <c r="L5" s="7"/>
    </row>
    <row r="6" spans="1:12" ht="68.25" customHeight="1" x14ac:dyDescent="0.2">
      <c r="A6" s="7" t="s">
        <v>549</v>
      </c>
      <c r="B6" s="7" t="s">
        <v>2398</v>
      </c>
      <c r="C6" s="7" t="s">
        <v>3013</v>
      </c>
      <c r="D6" s="8"/>
      <c r="E6" s="8"/>
      <c r="F6" s="8"/>
      <c r="G6" s="7" t="s">
        <v>3011</v>
      </c>
      <c r="H6" s="7" t="s">
        <v>3014</v>
      </c>
      <c r="I6" s="7" t="s">
        <v>71</v>
      </c>
      <c r="J6" s="7" t="s">
        <v>72</v>
      </c>
      <c r="K6" s="7"/>
      <c r="L6" s="7"/>
    </row>
    <row r="7" spans="1:12" ht="15" customHeight="1" x14ac:dyDescent="0.2">
      <c r="A7" s="6" t="s">
        <v>3015</v>
      </c>
      <c r="B7" s="6" t="s">
        <v>3016</v>
      </c>
      <c r="C7" s="6"/>
      <c r="D7" s="6"/>
      <c r="E7" s="6"/>
      <c r="F7" s="6"/>
      <c r="G7" s="6"/>
      <c r="H7" s="6"/>
      <c r="I7" s="6"/>
      <c r="J7" s="6"/>
      <c r="K7" s="6"/>
      <c r="L7" s="6"/>
    </row>
    <row r="8" spans="1:12" ht="34.5" customHeight="1" x14ac:dyDescent="0.2">
      <c r="A8" s="7" t="s">
        <v>2206</v>
      </c>
      <c r="B8" s="7" t="s">
        <v>2400</v>
      </c>
      <c r="C8" s="7" t="s">
        <v>2401</v>
      </c>
      <c r="D8" s="8"/>
      <c r="E8" s="8"/>
      <c r="F8" s="8"/>
      <c r="G8" s="7" t="s">
        <v>3011</v>
      </c>
      <c r="H8" s="7" t="s">
        <v>3017</v>
      </c>
      <c r="I8" s="7" t="s">
        <v>71</v>
      </c>
      <c r="J8" s="7" t="s">
        <v>72</v>
      </c>
      <c r="K8" s="7"/>
      <c r="L8" s="7"/>
    </row>
    <row r="9" spans="1:12" ht="34.5" customHeight="1" x14ac:dyDescent="0.2">
      <c r="A9" s="7" t="s">
        <v>2209</v>
      </c>
      <c r="B9" s="7" t="s">
        <v>2402</v>
      </c>
      <c r="C9" s="7" t="s">
        <v>2403</v>
      </c>
      <c r="D9" s="8"/>
      <c r="E9" s="8" t="s">
        <v>67</v>
      </c>
      <c r="F9" s="8"/>
      <c r="G9" s="7" t="s">
        <v>3018</v>
      </c>
      <c r="H9" s="7" t="s">
        <v>3019</v>
      </c>
      <c r="I9" s="7" t="s">
        <v>71</v>
      </c>
      <c r="J9" s="7" t="s">
        <v>72</v>
      </c>
      <c r="K9" s="7"/>
      <c r="L9" s="7"/>
    </row>
    <row r="10" spans="1:12" ht="45.75" customHeight="1" x14ac:dyDescent="0.2">
      <c r="A10" s="7" t="s">
        <v>2212</v>
      </c>
      <c r="B10" s="7" t="s">
        <v>2404</v>
      </c>
      <c r="C10" s="7" t="s">
        <v>2405</v>
      </c>
      <c r="D10" s="8" t="s">
        <v>67</v>
      </c>
      <c r="E10" s="8" t="s">
        <v>67</v>
      </c>
      <c r="F10" s="8"/>
      <c r="G10" s="7" t="s">
        <v>3020</v>
      </c>
      <c r="H10" s="7" t="s">
        <v>3021</v>
      </c>
      <c r="I10" s="7" t="s">
        <v>71</v>
      </c>
      <c r="J10" s="7" t="s">
        <v>72</v>
      </c>
      <c r="K10" s="7"/>
      <c r="L10" s="7"/>
    </row>
    <row r="11" spans="1:12" ht="34.5" customHeight="1" x14ac:dyDescent="0.2">
      <c r="A11" s="7" t="s">
        <v>2215</v>
      </c>
      <c r="B11" s="7" t="s">
        <v>2406</v>
      </c>
      <c r="C11" s="7" t="s">
        <v>2407</v>
      </c>
      <c r="D11" s="8"/>
      <c r="E11" s="8" t="s">
        <v>67</v>
      </c>
      <c r="F11" s="8"/>
      <c r="G11" s="7" t="s">
        <v>3022</v>
      </c>
      <c r="H11" s="7" t="s">
        <v>3023</v>
      </c>
      <c r="I11" s="7" t="s">
        <v>71</v>
      </c>
      <c r="J11" s="7" t="s">
        <v>72</v>
      </c>
      <c r="K11" s="7"/>
      <c r="L11" s="7"/>
    </row>
    <row r="12" spans="1:12" ht="34.5" customHeight="1" x14ac:dyDescent="0.2">
      <c r="A12" s="7" t="s">
        <v>2218</v>
      </c>
      <c r="B12" s="7" t="s">
        <v>2408</v>
      </c>
      <c r="C12" s="7" t="s">
        <v>2409</v>
      </c>
      <c r="D12" s="8" t="s">
        <v>67</v>
      </c>
      <c r="E12" s="8"/>
      <c r="F12" s="8"/>
      <c r="G12" s="7" t="s">
        <v>3024</v>
      </c>
      <c r="H12" s="7" t="s">
        <v>3025</v>
      </c>
      <c r="I12" s="7" t="s">
        <v>71</v>
      </c>
      <c r="J12" s="7" t="s">
        <v>72</v>
      </c>
      <c r="K12" s="7"/>
      <c r="L12" s="7"/>
    </row>
    <row r="13" spans="1:12" ht="34.5" customHeight="1" x14ac:dyDescent="0.2">
      <c r="A13" s="7" t="s">
        <v>2221</v>
      </c>
      <c r="B13" s="7" t="s">
        <v>2517</v>
      </c>
      <c r="C13" s="7" t="s">
        <v>2518</v>
      </c>
      <c r="D13" s="8"/>
      <c r="E13" s="8"/>
      <c r="F13" s="8" t="s">
        <v>67</v>
      </c>
      <c r="G13" s="7" t="s">
        <v>3026</v>
      </c>
      <c r="H13" s="7" t="s">
        <v>3027</v>
      </c>
      <c r="I13" s="7" t="s">
        <v>71</v>
      </c>
      <c r="J13" s="7" t="s">
        <v>72</v>
      </c>
      <c r="K13" s="7"/>
      <c r="L13" s="7"/>
    </row>
    <row r="14" spans="1:12" ht="15" customHeight="1" x14ac:dyDescent="0.2">
      <c r="A14" s="6" t="s">
        <v>3028</v>
      </c>
      <c r="B14" s="6" t="s">
        <v>3029</v>
      </c>
      <c r="C14" s="6"/>
      <c r="D14" s="6"/>
      <c r="E14" s="6"/>
      <c r="F14" s="6"/>
      <c r="G14" s="6"/>
      <c r="H14" s="6"/>
      <c r="I14" s="6"/>
      <c r="J14" s="6"/>
      <c r="K14" s="6"/>
      <c r="L14" s="6"/>
    </row>
    <row r="15" spans="1:12" ht="34.5" customHeight="1" x14ac:dyDescent="0.2">
      <c r="A15" s="7" t="s">
        <v>2329</v>
      </c>
      <c r="B15" s="7" t="s">
        <v>2330</v>
      </c>
      <c r="C15" s="7" t="s">
        <v>2331</v>
      </c>
      <c r="D15" s="8" t="s">
        <v>67</v>
      </c>
      <c r="E15" s="8" t="s">
        <v>67</v>
      </c>
      <c r="F15" s="8"/>
      <c r="G15" s="7" t="s">
        <v>3030</v>
      </c>
      <c r="H15" s="7" t="s">
        <v>3031</v>
      </c>
      <c r="I15" s="7" t="s">
        <v>71</v>
      </c>
      <c r="J15" s="7" t="s">
        <v>72</v>
      </c>
      <c r="K15" s="7"/>
      <c r="L15" s="7"/>
    </row>
    <row r="16" spans="1:12" ht="34.5" customHeight="1" x14ac:dyDescent="0.2">
      <c r="A16" s="7" t="s">
        <v>2332</v>
      </c>
      <c r="B16" s="7" t="s">
        <v>2333</v>
      </c>
      <c r="C16" s="7" t="s">
        <v>2334</v>
      </c>
      <c r="D16" s="8"/>
      <c r="E16" s="8" t="s">
        <v>67</v>
      </c>
      <c r="F16" s="8"/>
      <c r="G16" s="7" t="s">
        <v>3032</v>
      </c>
      <c r="H16" s="7" t="s">
        <v>3033</v>
      </c>
      <c r="I16" s="7" t="s">
        <v>71</v>
      </c>
      <c r="J16" s="7" t="s">
        <v>72</v>
      </c>
      <c r="K16" s="7"/>
      <c r="L16" s="7"/>
    </row>
    <row r="17" spans="1:12" ht="45.75" customHeight="1" x14ac:dyDescent="0.2">
      <c r="A17" s="7" t="s">
        <v>2335</v>
      </c>
      <c r="B17" s="7" t="s">
        <v>2336</v>
      </c>
      <c r="C17" s="7" t="s">
        <v>3034</v>
      </c>
      <c r="D17" s="8" t="s">
        <v>67</v>
      </c>
      <c r="E17" s="8" t="s">
        <v>67</v>
      </c>
      <c r="F17" s="8"/>
      <c r="G17" s="7" t="s">
        <v>3035</v>
      </c>
      <c r="H17" s="7" t="s">
        <v>3036</v>
      </c>
      <c r="I17" s="7" t="s">
        <v>71</v>
      </c>
      <c r="J17" s="7" t="s">
        <v>72</v>
      </c>
      <c r="K17" s="7"/>
      <c r="L17" s="7"/>
    </row>
    <row r="18" spans="1:12" ht="57" customHeight="1" x14ac:dyDescent="0.2">
      <c r="A18" s="7" t="s">
        <v>2061</v>
      </c>
      <c r="B18" s="7" t="s">
        <v>2062</v>
      </c>
      <c r="C18" s="7" t="s">
        <v>3037</v>
      </c>
      <c r="D18" s="8"/>
      <c r="E18" s="8"/>
      <c r="F18" s="8"/>
      <c r="G18" s="7" t="s">
        <v>3011</v>
      </c>
      <c r="H18" s="7" t="s">
        <v>3038</v>
      </c>
      <c r="I18" s="7" t="s">
        <v>71</v>
      </c>
      <c r="J18" s="7" t="s">
        <v>72</v>
      </c>
      <c r="K18" s="7"/>
      <c r="L18" s="7"/>
    </row>
    <row r="19" spans="1:12" ht="45.75" customHeight="1" x14ac:dyDescent="0.2">
      <c r="A19" s="7" t="s">
        <v>2410</v>
      </c>
      <c r="B19" s="7" t="s">
        <v>2411</v>
      </c>
      <c r="C19" s="7" t="s">
        <v>3039</v>
      </c>
      <c r="D19" s="8"/>
      <c r="E19" s="8"/>
      <c r="F19" s="8"/>
      <c r="G19" s="7" t="s">
        <v>3011</v>
      </c>
      <c r="H19" s="7" t="s">
        <v>3040</v>
      </c>
      <c r="I19" s="7" t="s">
        <v>71</v>
      </c>
      <c r="J19" s="7" t="s">
        <v>72</v>
      </c>
      <c r="K19" s="7"/>
      <c r="L19" s="7"/>
    </row>
  </sheetData>
  <autoFilter ref="A3:L19" xr:uid="{00000000-0009-0000-0000-000016000000}"/>
  <conditionalFormatting sqref="J4:J19">
    <cfRule type="cellIs" dxfId="8" priority="2" operator="equal">
      <formula>"Implemented"</formula>
    </cfRule>
    <cfRule type="cellIs" dxfId="7" priority="3" operator="equal">
      <formula>"Verified"</formula>
    </cfRule>
    <cfRule type="cellIs" dxfId="6" priority="4" operator="equal">
      <formula>"In progress"</formula>
    </cfRule>
  </conditionalFormatting>
  <dataValidations count="2">
    <dataValidation type="list" allowBlank="1" sqref="I4:I19" xr:uid="{00000000-0002-0000-1600-000000000000}">
      <formula1>"Yes,No"</formula1>
      <formula2>0</formula2>
    </dataValidation>
    <dataValidation type="list" allowBlank="1" sqref="J4:J19" xr:uid="{00000000-0002-0000-1600-000001000000}">
      <formula1>"Not started,In progress,Implemented,Verified,Not applicable"</formula1>
      <formula2>0</formula2>
    </dataValidation>
  </dataValidations>
  <pageMargins left="0.75" right="0.75" top="1" bottom="1" header="0.511811023622047" footer="0.511811023622047"/>
  <pageSetup fitToHeight="0" orientation="landscape"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L24"/>
  <sheetViews>
    <sheetView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5" x14ac:dyDescent="0.2"/>
  <cols>
    <col min="1" max="1" width="9" customWidth="1"/>
    <col min="2" max="2" width="38" customWidth="1"/>
    <col min="3" max="3" width="66" customWidth="1"/>
    <col min="4" max="6" width="5" customWidth="1"/>
    <col min="7" max="7" width="54" customWidth="1"/>
    <col min="8" max="8" width="42" customWidth="1"/>
    <col min="9" max="9" width="12" customWidth="1"/>
    <col min="10" max="11" width="14" customWidth="1"/>
    <col min="12" max="12" width="26" customWidth="1"/>
  </cols>
  <sheetData>
    <row r="1" spans="1:12" ht="15.75" customHeight="1" x14ac:dyDescent="0.2">
      <c r="A1" s="33" t="s">
        <v>3041</v>
      </c>
    </row>
    <row r="3" spans="1:12" ht="15" customHeight="1" x14ac:dyDescent="0.2">
      <c r="A3" s="49" t="s">
        <v>48</v>
      </c>
      <c r="B3" s="49" t="s">
        <v>50</v>
      </c>
      <c r="C3" s="49" t="s">
        <v>3042</v>
      </c>
      <c r="D3" s="49" t="s">
        <v>52</v>
      </c>
      <c r="E3" s="49" t="s">
        <v>53</v>
      </c>
      <c r="F3" s="49" t="s">
        <v>54</v>
      </c>
      <c r="G3" s="49" t="s">
        <v>999</v>
      </c>
      <c r="H3" s="49" t="s">
        <v>57</v>
      </c>
      <c r="I3" s="49" t="s">
        <v>545</v>
      </c>
      <c r="J3" s="49" t="s">
        <v>59</v>
      </c>
      <c r="K3" s="49" t="s">
        <v>60</v>
      </c>
      <c r="L3" s="49" t="s">
        <v>61</v>
      </c>
    </row>
    <row r="4" spans="1:12" ht="15" customHeight="1" x14ac:dyDescent="0.2">
      <c r="A4" s="6" t="s">
        <v>59</v>
      </c>
      <c r="B4" s="6" t="s">
        <v>3043</v>
      </c>
      <c r="C4" s="6"/>
      <c r="D4" s="6"/>
      <c r="E4" s="6"/>
      <c r="F4" s="6"/>
      <c r="G4" s="6"/>
      <c r="H4" s="6"/>
      <c r="I4" s="6"/>
      <c r="J4" s="6"/>
      <c r="K4" s="6"/>
      <c r="L4" s="6"/>
    </row>
    <row r="5" spans="1:12" ht="68.25" customHeight="1" x14ac:dyDescent="0.2">
      <c r="A5" s="7" t="s">
        <v>2106</v>
      </c>
      <c r="B5" s="7" t="s">
        <v>2519</v>
      </c>
      <c r="C5" s="7" t="s">
        <v>3044</v>
      </c>
      <c r="D5" s="8"/>
      <c r="E5" s="8"/>
      <c r="F5" s="8"/>
      <c r="G5" s="7" t="s">
        <v>3045</v>
      </c>
      <c r="H5" s="7" t="s">
        <v>3046</v>
      </c>
      <c r="I5" s="7" t="s">
        <v>71</v>
      </c>
      <c r="J5" s="7" t="s">
        <v>72</v>
      </c>
      <c r="K5" s="7"/>
      <c r="L5" s="7"/>
    </row>
    <row r="6" spans="1:12" ht="68.25" customHeight="1" x14ac:dyDescent="0.2">
      <c r="A6" s="7" t="s">
        <v>549</v>
      </c>
      <c r="B6" s="7" t="s">
        <v>2521</v>
      </c>
      <c r="C6" s="7" t="s">
        <v>3047</v>
      </c>
      <c r="D6" s="8"/>
      <c r="E6" s="8"/>
      <c r="F6" s="8"/>
      <c r="G6" s="7" t="s">
        <v>3045</v>
      </c>
      <c r="H6" s="7" t="s">
        <v>3048</v>
      </c>
      <c r="I6" s="7" t="s">
        <v>71</v>
      </c>
      <c r="J6" s="7" t="s">
        <v>72</v>
      </c>
      <c r="K6" s="7"/>
      <c r="L6" s="7"/>
    </row>
    <row r="7" spans="1:12" ht="15" customHeight="1" x14ac:dyDescent="0.2">
      <c r="A7" s="6" t="s">
        <v>915</v>
      </c>
      <c r="B7" s="6" t="s">
        <v>3049</v>
      </c>
      <c r="C7" s="6"/>
      <c r="D7" s="6"/>
      <c r="E7" s="6"/>
      <c r="F7" s="6"/>
      <c r="G7" s="6"/>
      <c r="H7" s="6"/>
      <c r="I7" s="6"/>
      <c r="J7" s="6"/>
      <c r="K7" s="6"/>
      <c r="L7" s="6"/>
    </row>
    <row r="8" spans="1:12" ht="45.75" customHeight="1" x14ac:dyDescent="0.2">
      <c r="A8" s="7" t="s">
        <v>197</v>
      </c>
      <c r="B8" s="7" t="s">
        <v>2064</v>
      </c>
      <c r="C8" s="7" t="s">
        <v>3050</v>
      </c>
      <c r="D8" s="8" t="s">
        <v>67</v>
      </c>
      <c r="E8" s="8" t="s">
        <v>67</v>
      </c>
      <c r="F8" s="8" t="s">
        <v>67</v>
      </c>
      <c r="G8" s="7" t="s">
        <v>3051</v>
      </c>
      <c r="H8" s="7" t="s">
        <v>3052</v>
      </c>
      <c r="I8" s="7" t="s">
        <v>71</v>
      </c>
      <c r="J8" s="7" t="s">
        <v>72</v>
      </c>
      <c r="K8" s="7"/>
      <c r="L8" s="7"/>
    </row>
    <row r="9" spans="1:12" ht="45.75" customHeight="1" x14ac:dyDescent="0.2">
      <c r="A9" s="7" t="s">
        <v>203</v>
      </c>
      <c r="B9" s="7" t="s">
        <v>2136</v>
      </c>
      <c r="C9" s="7" t="s">
        <v>3053</v>
      </c>
      <c r="D9" s="8"/>
      <c r="E9" s="8"/>
      <c r="F9" s="8"/>
      <c r="G9" s="7" t="s">
        <v>3045</v>
      </c>
      <c r="H9" s="7" t="s">
        <v>3054</v>
      </c>
      <c r="I9" s="7" t="s">
        <v>71</v>
      </c>
      <c r="J9" s="7" t="s">
        <v>72</v>
      </c>
      <c r="K9" s="7"/>
      <c r="L9" s="7"/>
    </row>
    <row r="10" spans="1:12" ht="15" customHeight="1" x14ac:dyDescent="0.2">
      <c r="A10" s="6" t="s">
        <v>959</v>
      </c>
      <c r="B10" s="6" t="s">
        <v>3055</v>
      </c>
      <c r="C10" s="6"/>
      <c r="D10" s="6"/>
      <c r="E10" s="6"/>
      <c r="F10" s="6"/>
      <c r="G10" s="6"/>
      <c r="H10" s="6"/>
      <c r="I10" s="6"/>
      <c r="J10" s="6"/>
      <c r="K10" s="6"/>
      <c r="L10" s="6"/>
    </row>
    <row r="11" spans="1:12" ht="34.5" customHeight="1" x14ac:dyDescent="0.2">
      <c r="A11" s="7" t="s">
        <v>961</v>
      </c>
      <c r="B11" s="7" t="s">
        <v>2352</v>
      </c>
      <c r="C11" s="7" t="s">
        <v>2353</v>
      </c>
      <c r="D11" s="8"/>
      <c r="E11" s="8" t="s">
        <v>67</v>
      </c>
      <c r="F11" s="8"/>
      <c r="G11" s="7" t="s">
        <v>3056</v>
      </c>
      <c r="H11" s="7" t="s">
        <v>3057</v>
      </c>
      <c r="I11" s="7" t="s">
        <v>71</v>
      </c>
      <c r="J11" s="7" t="s">
        <v>72</v>
      </c>
      <c r="K11" s="7"/>
      <c r="L11" s="7"/>
    </row>
    <row r="12" spans="1:12" ht="34.5" customHeight="1" x14ac:dyDescent="0.2">
      <c r="A12" s="7" t="s">
        <v>225</v>
      </c>
      <c r="B12" s="7" t="s">
        <v>2354</v>
      </c>
      <c r="C12" s="7" t="s">
        <v>2355</v>
      </c>
      <c r="D12" s="8"/>
      <c r="E12" s="8" t="s">
        <v>67</v>
      </c>
      <c r="F12" s="8"/>
      <c r="G12" s="7" t="s">
        <v>3058</v>
      </c>
      <c r="H12" s="7" t="s">
        <v>3059</v>
      </c>
      <c r="I12" s="7" t="s">
        <v>71</v>
      </c>
      <c r="J12" s="7" t="s">
        <v>72</v>
      </c>
      <c r="K12" s="7"/>
      <c r="L12" s="7"/>
    </row>
    <row r="13" spans="1:12" ht="23.25" customHeight="1" x14ac:dyDescent="0.2">
      <c r="A13" s="7" t="s">
        <v>230</v>
      </c>
      <c r="B13" s="7" t="s">
        <v>2356</v>
      </c>
      <c r="C13" s="7" t="s">
        <v>2357</v>
      </c>
      <c r="D13" s="8"/>
      <c r="E13" s="8" t="s">
        <v>67</v>
      </c>
      <c r="F13" s="8"/>
      <c r="G13" s="7" t="s">
        <v>3060</v>
      </c>
      <c r="H13" s="7" t="s">
        <v>3061</v>
      </c>
      <c r="I13" s="7" t="s">
        <v>71</v>
      </c>
      <c r="J13" s="7" t="s">
        <v>72</v>
      </c>
      <c r="K13" s="7"/>
      <c r="L13" s="7"/>
    </row>
    <row r="14" spans="1:12" ht="34.5" customHeight="1" x14ac:dyDescent="0.2">
      <c r="A14" s="7" t="s">
        <v>972</v>
      </c>
      <c r="B14" s="7" t="s">
        <v>2358</v>
      </c>
      <c r="C14" s="7" t="s">
        <v>2359</v>
      </c>
      <c r="D14" s="8" t="s">
        <v>67</v>
      </c>
      <c r="E14" s="8"/>
      <c r="F14" s="8"/>
      <c r="G14" s="7" t="s">
        <v>3062</v>
      </c>
      <c r="H14" s="7" t="s">
        <v>3063</v>
      </c>
      <c r="I14" s="7" t="s">
        <v>71</v>
      </c>
      <c r="J14" s="7" t="s">
        <v>72</v>
      </c>
      <c r="K14" s="7"/>
      <c r="L14" s="7"/>
    </row>
    <row r="15" spans="1:12" ht="23.25" customHeight="1" x14ac:dyDescent="0.2">
      <c r="A15" s="7" t="s">
        <v>976</v>
      </c>
      <c r="B15" s="7" t="s">
        <v>2360</v>
      </c>
      <c r="C15" s="7" t="s">
        <v>2361</v>
      </c>
      <c r="D15" s="8" t="s">
        <v>67</v>
      </c>
      <c r="E15" s="8"/>
      <c r="F15" s="8"/>
      <c r="G15" s="7" t="s">
        <v>3064</v>
      </c>
      <c r="H15" s="7" t="s">
        <v>3065</v>
      </c>
      <c r="I15" s="7" t="s">
        <v>71</v>
      </c>
      <c r="J15" s="7" t="s">
        <v>72</v>
      </c>
      <c r="K15" s="7"/>
      <c r="L15" s="7"/>
    </row>
    <row r="16" spans="1:12" ht="34.5" customHeight="1" x14ac:dyDescent="0.2">
      <c r="A16" s="7" t="s">
        <v>1261</v>
      </c>
      <c r="B16" s="7" t="s">
        <v>2362</v>
      </c>
      <c r="C16" s="7" t="s">
        <v>2363</v>
      </c>
      <c r="D16" s="8" t="s">
        <v>67</v>
      </c>
      <c r="E16" s="8"/>
      <c r="F16" s="8"/>
      <c r="G16" s="7" t="s">
        <v>3066</v>
      </c>
      <c r="H16" s="7" t="s">
        <v>3067</v>
      </c>
      <c r="I16" s="7" t="s">
        <v>71</v>
      </c>
      <c r="J16" s="7" t="s">
        <v>72</v>
      </c>
      <c r="K16" s="7"/>
      <c r="L16" s="7"/>
    </row>
    <row r="17" spans="1:12" ht="34.5" customHeight="1" x14ac:dyDescent="0.2">
      <c r="A17" s="7" t="s">
        <v>1266</v>
      </c>
      <c r="B17" s="7" t="s">
        <v>2364</v>
      </c>
      <c r="C17" s="7" t="s">
        <v>2365</v>
      </c>
      <c r="D17" s="8" t="s">
        <v>67</v>
      </c>
      <c r="E17" s="8" t="s">
        <v>67</v>
      </c>
      <c r="F17" s="8" t="s">
        <v>67</v>
      </c>
      <c r="G17" s="7" t="s">
        <v>3068</v>
      </c>
      <c r="H17" s="7" t="s">
        <v>3069</v>
      </c>
      <c r="I17" s="7" t="s">
        <v>71</v>
      </c>
      <c r="J17" s="7" t="s">
        <v>72</v>
      </c>
      <c r="K17" s="7"/>
      <c r="L17" s="7"/>
    </row>
    <row r="18" spans="1:12" ht="57" customHeight="1" x14ac:dyDescent="0.2">
      <c r="A18" s="7" t="s">
        <v>1271</v>
      </c>
      <c r="B18" s="7" t="s">
        <v>2066</v>
      </c>
      <c r="C18" s="7" t="s">
        <v>3070</v>
      </c>
      <c r="D18" s="8"/>
      <c r="E18" s="8"/>
      <c r="F18" s="8"/>
      <c r="G18" s="7" t="s">
        <v>3045</v>
      </c>
      <c r="H18" s="7" t="s">
        <v>3071</v>
      </c>
      <c r="I18" s="7" t="s">
        <v>71</v>
      </c>
      <c r="J18" s="7" t="s">
        <v>72</v>
      </c>
      <c r="K18" s="7"/>
      <c r="L18" s="7"/>
    </row>
    <row r="19" spans="1:12" ht="15" customHeight="1" x14ac:dyDescent="0.2">
      <c r="A19" s="6" t="s">
        <v>1585</v>
      </c>
      <c r="B19" s="6" t="s">
        <v>3072</v>
      </c>
      <c r="C19" s="6"/>
      <c r="D19" s="6"/>
      <c r="E19" s="6"/>
      <c r="F19" s="6"/>
      <c r="G19" s="6"/>
      <c r="H19" s="6"/>
      <c r="I19" s="6"/>
      <c r="J19" s="6"/>
      <c r="K19" s="6"/>
      <c r="L19" s="6"/>
    </row>
    <row r="20" spans="1:12" ht="45.75" customHeight="1" x14ac:dyDescent="0.2">
      <c r="A20" s="7" t="s">
        <v>235</v>
      </c>
      <c r="B20" s="7" t="s">
        <v>2068</v>
      </c>
      <c r="C20" s="7" t="s">
        <v>3073</v>
      </c>
      <c r="D20" s="8" t="s">
        <v>67</v>
      </c>
      <c r="E20" s="8" t="s">
        <v>67</v>
      </c>
      <c r="F20" s="8" t="s">
        <v>67</v>
      </c>
      <c r="G20" s="7" t="s">
        <v>3074</v>
      </c>
      <c r="H20" s="7" t="s">
        <v>3075</v>
      </c>
      <c r="I20" s="7" t="s">
        <v>71</v>
      </c>
      <c r="J20" s="7" t="s">
        <v>72</v>
      </c>
      <c r="K20" s="7"/>
      <c r="L20" s="7"/>
    </row>
    <row r="21" spans="1:12" ht="34.5" customHeight="1" x14ac:dyDescent="0.2">
      <c r="A21" s="7" t="s">
        <v>241</v>
      </c>
      <c r="B21" s="7" t="s">
        <v>2523</v>
      </c>
      <c r="C21" s="7" t="s">
        <v>3076</v>
      </c>
      <c r="D21" s="8"/>
      <c r="E21" s="8"/>
      <c r="F21" s="8"/>
      <c r="G21" s="7" t="s">
        <v>3045</v>
      </c>
      <c r="H21" s="7" t="s">
        <v>3077</v>
      </c>
      <c r="I21" s="7" t="s">
        <v>71</v>
      </c>
      <c r="J21" s="7" t="s">
        <v>72</v>
      </c>
      <c r="K21" s="7"/>
      <c r="L21" s="7"/>
    </row>
    <row r="22" spans="1:12" ht="34.5" customHeight="1" x14ac:dyDescent="0.2">
      <c r="A22" s="7" t="s">
        <v>94</v>
      </c>
      <c r="B22" s="7" t="s">
        <v>2202</v>
      </c>
      <c r="C22" s="7" t="s">
        <v>2203</v>
      </c>
      <c r="D22" s="8" t="s">
        <v>67</v>
      </c>
      <c r="E22" s="8" t="s">
        <v>67</v>
      </c>
      <c r="F22" s="8" t="s">
        <v>67</v>
      </c>
      <c r="G22" s="7" t="s">
        <v>3078</v>
      </c>
      <c r="H22" s="7" t="s">
        <v>3079</v>
      </c>
      <c r="I22" s="7" t="s">
        <v>71</v>
      </c>
      <c r="J22" s="7" t="s">
        <v>72</v>
      </c>
      <c r="K22" s="7"/>
      <c r="L22" s="7"/>
    </row>
    <row r="23" spans="1:12" ht="45.75" customHeight="1" x14ac:dyDescent="0.2">
      <c r="A23" s="7" t="s">
        <v>986</v>
      </c>
      <c r="B23" s="7" t="s">
        <v>2525</v>
      </c>
      <c r="C23" s="7" t="s">
        <v>3080</v>
      </c>
      <c r="D23" s="8" t="s">
        <v>67</v>
      </c>
      <c r="E23" s="8" t="s">
        <v>67</v>
      </c>
      <c r="F23" s="8" t="s">
        <v>67</v>
      </c>
      <c r="G23" s="7" t="s">
        <v>3081</v>
      </c>
      <c r="H23" s="7" t="s">
        <v>3082</v>
      </c>
      <c r="I23" s="7" t="s">
        <v>71</v>
      </c>
      <c r="J23" s="7" t="s">
        <v>72</v>
      </c>
      <c r="K23" s="7"/>
      <c r="L23" s="7"/>
    </row>
    <row r="24" spans="1:12" ht="34.5" customHeight="1" x14ac:dyDescent="0.2">
      <c r="A24" s="7" t="s">
        <v>2070</v>
      </c>
      <c r="B24" s="7" t="s">
        <v>2071</v>
      </c>
      <c r="C24" s="7" t="s">
        <v>2072</v>
      </c>
      <c r="D24" s="8" t="s">
        <v>67</v>
      </c>
      <c r="E24" s="8" t="s">
        <v>67</v>
      </c>
      <c r="F24" s="8"/>
      <c r="G24" s="7" t="s">
        <v>3083</v>
      </c>
      <c r="H24" s="7" t="s">
        <v>3084</v>
      </c>
      <c r="I24" s="7" t="s">
        <v>71</v>
      </c>
      <c r="J24" s="7" t="s">
        <v>72</v>
      </c>
      <c r="K24" s="7"/>
      <c r="L24" s="7"/>
    </row>
  </sheetData>
  <autoFilter ref="A3:L24" xr:uid="{00000000-0009-0000-0000-000017000000}"/>
  <conditionalFormatting sqref="J4:J24">
    <cfRule type="cellIs" dxfId="5" priority="2" operator="equal">
      <formula>"Implemented"</formula>
    </cfRule>
    <cfRule type="cellIs" dxfId="4" priority="3" operator="equal">
      <formula>"Verified"</formula>
    </cfRule>
    <cfRule type="cellIs" dxfId="3" priority="4" operator="equal">
      <formula>"In progress"</formula>
    </cfRule>
  </conditionalFormatting>
  <dataValidations count="2">
    <dataValidation type="list" allowBlank="1" sqref="I4:I24" xr:uid="{00000000-0002-0000-1700-000000000000}">
      <formula1>"Yes,No"</formula1>
      <formula2>0</formula2>
    </dataValidation>
    <dataValidation type="list" allowBlank="1" sqref="J4:J24" xr:uid="{00000000-0002-0000-1700-000001000000}">
      <formula1>"Not started,In progress,Implemented,Verified,Not applicable"</formula1>
      <formula2>0</formula2>
    </dataValidation>
  </dataValidations>
  <pageMargins left="0.75" right="0.75" top="1" bottom="1" header="0.511811023622047" footer="0.511811023622047"/>
  <pageSetup fitToHeight="0" orientation="landscape"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L23"/>
  <sheetViews>
    <sheetView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5" x14ac:dyDescent="0.2"/>
  <cols>
    <col min="1" max="1" width="9" customWidth="1"/>
    <col min="2" max="2" width="22" customWidth="1"/>
    <col min="3" max="3" width="64" customWidth="1"/>
    <col min="4" max="6" width="5" customWidth="1"/>
    <col min="7" max="7" width="52" customWidth="1"/>
    <col min="8" max="8" width="48" customWidth="1"/>
    <col min="9" max="9" width="12" customWidth="1"/>
    <col min="10" max="11" width="14" customWidth="1"/>
    <col min="12" max="12" width="26" customWidth="1"/>
  </cols>
  <sheetData>
    <row r="1" spans="1:12" ht="15.75" customHeight="1" x14ac:dyDescent="0.2">
      <c r="A1" s="33" t="s">
        <v>3085</v>
      </c>
    </row>
    <row r="3" spans="1:12" ht="15" customHeight="1" x14ac:dyDescent="0.2">
      <c r="A3" s="50" t="s">
        <v>48</v>
      </c>
      <c r="B3" s="50" t="s">
        <v>3086</v>
      </c>
      <c r="C3" s="50" t="s">
        <v>3087</v>
      </c>
      <c r="D3" s="50" t="s">
        <v>52</v>
      </c>
      <c r="E3" s="50" t="s">
        <v>53</v>
      </c>
      <c r="F3" s="50" t="s">
        <v>54</v>
      </c>
      <c r="G3" s="50" t="s">
        <v>999</v>
      </c>
      <c r="H3" s="50" t="s">
        <v>3088</v>
      </c>
      <c r="I3" s="50" t="s">
        <v>545</v>
      </c>
      <c r="J3" s="50" t="s">
        <v>59</v>
      </c>
      <c r="K3" s="50" t="s">
        <v>60</v>
      </c>
      <c r="L3" s="50" t="s">
        <v>61</v>
      </c>
    </row>
    <row r="4" spans="1:12" ht="15" customHeight="1" x14ac:dyDescent="0.2">
      <c r="A4" s="6" t="s">
        <v>59</v>
      </c>
      <c r="B4" s="6" t="s">
        <v>3089</v>
      </c>
      <c r="C4" s="6"/>
      <c r="D4" s="6"/>
      <c r="E4" s="6"/>
      <c r="F4" s="6"/>
      <c r="G4" s="6"/>
      <c r="H4" s="6"/>
      <c r="I4" s="6"/>
      <c r="J4" s="6"/>
      <c r="K4" s="6"/>
      <c r="L4" s="6"/>
    </row>
    <row r="5" spans="1:12" ht="113.25" customHeight="1" x14ac:dyDescent="0.2">
      <c r="A5" s="7" t="s">
        <v>2106</v>
      </c>
      <c r="B5" s="7" t="s">
        <v>2107</v>
      </c>
      <c r="C5" s="7" t="s">
        <v>3090</v>
      </c>
      <c r="D5" s="8"/>
      <c r="E5" s="8"/>
      <c r="F5" s="8"/>
      <c r="G5" s="7" t="s">
        <v>3091</v>
      </c>
      <c r="H5" s="7" t="s">
        <v>3092</v>
      </c>
      <c r="I5" s="7" t="s">
        <v>71</v>
      </c>
      <c r="J5" s="7" t="s">
        <v>72</v>
      </c>
      <c r="K5" s="7"/>
      <c r="L5" s="7"/>
    </row>
    <row r="6" spans="1:12" ht="57" customHeight="1" x14ac:dyDescent="0.2">
      <c r="A6" s="7" t="s">
        <v>2109</v>
      </c>
      <c r="B6" s="7" t="s">
        <v>2110</v>
      </c>
      <c r="C6" s="7" t="s">
        <v>3093</v>
      </c>
      <c r="D6" s="8"/>
      <c r="E6" s="8"/>
      <c r="F6" s="8"/>
      <c r="G6" s="7" t="s">
        <v>3091</v>
      </c>
      <c r="H6" s="7" t="s">
        <v>3094</v>
      </c>
      <c r="I6" s="7" t="s">
        <v>71</v>
      </c>
      <c r="J6" s="7" t="s">
        <v>72</v>
      </c>
      <c r="K6" s="7"/>
      <c r="L6" s="7"/>
    </row>
    <row r="7" spans="1:12" ht="15" customHeight="1" x14ac:dyDescent="0.2">
      <c r="A7" s="6" t="s">
        <v>3095</v>
      </c>
      <c r="B7" s="6" t="s">
        <v>3096</v>
      </c>
      <c r="C7" s="6"/>
      <c r="D7" s="6"/>
      <c r="E7" s="6"/>
      <c r="F7" s="6"/>
      <c r="G7" s="6"/>
      <c r="H7" s="6"/>
      <c r="I7" s="6"/>
      <c r="J7" s="6"/>
      <c r="K7" s="6"/>
      <c r="L7" s="6"/>
    </row>
    <row r="8" spans="1:12" ht="34.5" customHeight="1" x14ac:dyDescent="0.2">
      <c r="A8" s="7" t="s">
        <v>2278</v>
      </c>
      <c r="B8" s="7" t="s">
        <v>2279</v>
      </c>
      <c r="C8" s="7" t="s">
        <v>2280</v>
      </c>
      <c r="D8" s="8" t="s">
        <v>67</v>
      </c>
      <c r="E8" s="8"/>
      <c r="F8" s="8"/>
      <c r="G8" s="7" t="s">
        <v>3097</v>
      </c>
      <c r="H8" s="7" t="s">
        <v>3098</v>
      </c>
      <c r="I8" s="7" t="s">
        <v>71</v>
      </c>
      <c r="J8" s="7" t="s">
        <v>72</v>
      </c>
      <c r="K8" s="7"/>
      <c r="L8" s="7"/>
    </row>
    <row r="9" spans="1:12" ht="34.5" customHeight="1" x14ac:dyDescent="0.2">
      <c r="A9" s="7" t="s">
        <v>2281</v>
      </c>
      <c r="B9" s="7" t="s">
        <v>2282</v>
      </c>
      <c r="C9" s="7" t="s">
        <v>2283</v>
      </c>
      <c r="D9" s="8"/>
      <c r="E9" s="8"/>
      <c r="F9" s="8"/>
      <c r="G9" s="7" t="s">
        <v>3091</v>
      </c>
      <c r="H9" s="7" t="s">
        <v>3099</v>
      </c>
      <c r="I9" s="7" t="s">
        <v>71</v>
      </c>
      <c r="J9" s="7" t="s">
        <v>72</v>
      </c>
      <c r="K9" s="7"/>
      <c r="L9" s="7"/>
    </row>
    <row r="10" spans="1:12" ht="34.5" customHeight="1" x14ac:dyDescent="0.2">
      <c r="A10" s="7" t="s">
        <v>2284</v>
      </c>
      <c r="B10" s="7" t="s">
        <v>2285</v>
      </c>
      <c r="C10" s="7" t="s">
        <v>2286</v>
      </c>
      <c r="D10" s="8" t="s">
        <v>67</v>
      </c>
      <c r="E10" s="8" t="s">
        <v>67</v>
      </c>
      <c r="F10" s="8" t="s">
        <v>67</v>
      </c>
      <c r="G10" s="7" t="s">
        <v>3100</v>
      </c>
      <c r="H10" s="7" t="s">
        <v>3101</v>
      </c>
      <c r="I10" s="7" t="s">
        <v>71</v>
      </c>
      <c r="J10" s="7" t="s">
        <v>72</v>
      </c>
      <c r="K10" s="7"/>
      <c r="L10" s="7"/>
    </row>
    <row r="11" spans="1:12" ht="34.5" customHeight="1" x14ac:dyDescent="0.2">
      <c r="A11" s="7" t="s">
        <v>2287</v>
      </c>
      <c r="B11" s="7" t="s">
        <v>2288</v>
      </c>
      <c r="C11" s="7" t="s">
        <v>2289</v>
      </c>
      <c r="D11" s="8" t="s">
        <v>67</v>
      </c>
      <c r="E11" s="8"/>
      <c r="F11" s="8"/>
      <c r="G11" s="7" t="s">
        <v>3102</v>
      </c>
      <c r="H11" s="7" t="s">
        <v>3103</v>
      </c>
      <c r="I11" s="7" t="s">
        <v>71</v>
      </c>
      <c r="J11" s="7" t="s">
        <v>72</v>
      </c>
      <c r="K11" s="7"/>
      <c r="L11" s="7"/>
    </row>
    <row r="12" spans="1:12" ht="23.25" customHeight="1" x14ac:dyDescent="0.2">
      <c r="A12" s="7" t="s">
        <v>2527</v>
      </c>
      <c r="B12" s="7" t="s">
        <v>2528</v>
      </c>
      <c r="C12" s="7" t="s">
        <v>2529</v>
      </c>
      <c r="D12" s="8"/>
      <c r="E12" s="8" t="s">
        <v>67</v>
      </c>
      <c r="F12" s="8"/>
      <c r="G12" s="7" t="s">
        <v>3104</v>
      </c>
      <c r="H12" s="7" t="s">
        <v>3105</v>
      </c>
      <c r="I12" s="7" t="s">
        <v>71</v>
      </c>
      <c r="J12" s="7" t="s">
        <v>72</v>
      </c>
      <c r="K12" s="7"/>
      <c r="L12" s="7"/>
    </row>
    <row r="13" spans="1:12" ht="23.25" customHeight="1" x14ac:dyDescent="0.2">
      <c r="A13" s="7" t="s">
        <v>2073</v>
      </c>
      <c r="B13" s="7" t="s">
        <v>2074</v>
      </c>
      <c r="C13" s="7" t="s">
        <v>2075</v>
      </c>
      <c r="D13" s="8"/>
      <c r="E13" s="8" t="s">
        <v>67</v>
      </c>
      <c r="F13" s="8"/>
      <c r="G13" s="7" t="s">
        <v>3106</v>
      </c>
      <c r="H13" s="7" t="s">
        <v>3107</v>
      </c>
      <c r="I13" s="7" t="s">
        <v>71</v>
      </c>
      <c r="J13" s="7" t="s">
        <v>72</v>
      </c>
      <c r="K13" s="7"/>
      <c r="L13" s="7"/>
    </row>
    <row r="14" spans="1:12" ht="34.5" customHeight="1" x14ac:dyDescent="0.2">
      <c r="A14" s="7" t="s">
        <v>2290</v>
      </c>
      <c r="B14" s="7" t="s">
        <v>2291</v>
      </c>
      <c r="C14" s="7" t="s">
        <v>2292</v>
      </c>
      <c r="D14" s="8" t="s">
        <v>67</v>
      </c>
      <c r="E14" s="8" t="s">
        <v>67</v>
      </c>
      <c r="F14" s="8" t="s">
        <v>67</v>
      </c>
      <c r="G14" s="7" t="s">
        <v>3108</v>
      </c>
      <c r="H14" s="7" t="s">
        <v>3109</v>
      </c>
      <c r="I14" s="7" t="s">
        <v>71</v>
      </c>
      <c r="J14" s="7" t="s">
        <v>72</v>
      </c>
      <c r="K14" s="7"/>
      <c r="L14" s="7"/>
    </row>
    <row r="15" spans="1:12" ht="34.5" customHeight="1" x14ac:dyDescent="0.2">
      <c r="A15" s="7" t="s">
        <v>2293</v>
      </c>
      <c r="B15" s="7" t="s">
        <v>2294</v>
      </c>
      <c r="C15" s="7" t="s">
        <v>2295</v>
      </c>
      <c r="D15" s="8"/>
      <c r="E15" s="8" t="s">
        <v>67</v>
      </c>
      <c r="F15" s="8"/>
      <c r="G15" s="7" t="s">
        <v>3110</v>
      </c>
      <c r="H15" s="7" t="s">
        <v>3111</v>
      </c>
      <c r="I15" s="7" t="s">
        <v>71</v>
      </c>
      <c r="J15" s="7" t="s">
        <v>72</v>
      </c>
      <c r="K15" s="7"/>
      <c r="L15" s="7"/>
    </row>
    <row r="16" spans="1:12" ht="23.25" customHeight="1" x14ac:dyDescent="0.2">
      <c r="A16" s="7" t="s">
        <v>2296</v>
      </c>
      <c r="B16" s="7" t="s">
        <v>2297</v>
      </c>
      <c r="C16" s="7" t="s">
        <v>2298</v>
      </c>
      <c r="D16" s="8" t="s">
        <v>67</v>
      </c>
      <c r="E16" s="8"/>
      <c r="F16" s="8"/>
      <c r="G16" s="7" t="s">
        <v>3112</v>
      </c>
      <c r="H16" s="7" t="s">
        <v>3113</v>
      </c>
      <c r="I16" s="7" t="s">
        <v>71</v>
      </c>
      <c r="J16" s="7" t="s">
        <v>72</v>
      </c>
      <c r="K16" s="7"/>
      <c r="L16" s="7"/>
    </row>
    <row r="17" spans="1:12" ht="23.25" customHeight="1" x14ac:dyDescent="0.2">
      <c r="A17" s="7" t="s">
        <v>2299</v>
      </c>
      <c r="B17" s="7" t="s">
        <v>2300</v>
      </c>
      <c r="C17" s="7" t="s">
        <v>2301</v>
      </c>
      <c r="D17" s="8" t="s">
        <v>67</v>
      </c>
      <c r="E17" s="8"/>
      <c r="F17" s="8"/>
      <c r="G17" s="7" t="s">
        <v>3114</v>
      </c>
      <c r="H17" s="7" t="s">
        <v>3115</v>
      </c>
      <c r="I17" s="7" t="s">
        <v>71</v>
      </c>
      <c r="J17" s="7" t="s">
        <v>72</v>
      </c>
      <c r="K17" s="7"/>
      <c r="L17" s="7"/>
    </row>
    <row r="18" spans="1:12" ht="34.5" customHeight="1" x14ac:dyDescent="0.2">
      <c r="A18" s="7" t="s">
        <v>2302</v>
      </c>
      <c r="B18" s="7" t="s">
        <v>2303</v>
      </c>
      <c r="C18" s="7" t="s">
        <v>2304</v>
      </c>
      <c r="D18" s="8" t="s">
        <v>67</v>
      </c>
      <c r="E18" s="8" t="s">
        <v>67</v>
      </c>
      <c r="F18" s="8" t="s">
        <v>67</v>
      </c>
      <c r="G18" s="7" t="s">
        <v>3116</v>
      </c>
      <c r="H18" s="7" t="s">
        <v>3117</v>
      </c>
      <c r="I18" s="7" t="s">
        <v>71</v>
      </c>
      <c r="J18" s="7" t="s">
        <v>72</v>
      </c>
      <c r="K18" s="7"/>
      <c r="L18" s="7"/>
    </row>
    <row r="19" spans="1:12" ht="23.25" customHeight="1" x14ac:dyDescent="0.2">
      <c r="A19" s="7" t="s">
        <v>2305</v>
      </c>
      <c r="B19" s="7" t="s">
        <v>2306</v>
      </c>
      <c r="C19" s="7" t="s">
        <v>2307</v>
      </c>
      <c r="D19" s="8" t="s">
        <v>67</v>
      </c>
      <c r="E19" s="8"/>
      <c r="F19" s="8"/>
      <c r="G19" s="7" t="s">
        <v>3118</v>
      </c>
      <c r="H19" s="7" t="s">
        <v>3119</v>
      </c>
      <c r="I19" s="7" t="s">
        <v>71</v>
      </c>
      <c r="J19" s="7" t="s">
        <v>72</v>
      </c>
      <c r="K19" s="7"/>
      <c r="L19" s="7"/>
    </row>
    <row r="20" spans="1:12" ht="45.75" customHeight="1" x14ac:dyDescent="0.2">
      <c r="A20" s="7" t="s">
        <v>2308</v>
      </c>
      <c r="B20" s="7" t="s">
        <v>2309</v>
      </c>
      <c r="C20" s="7" t="s">
        <v>3120</v>
      </c>
      <c r="D20" s="8"/>
      <c r="E20" s="8" t="s">
        <v>67</v>
      </c>
      <c r="F20" s="8"/>
      <c r="G20" s="7" t="s">
        <v>3121</v>
      </c>
      <c r="H20" s="7" t="s">
        <v>3122</v>
      </c>
      <c r="I20" s="7" t="s">
        <v>71</v>
      </c>
      <c r="J20" s="7" t="s">
        <v>72</v>
      </c>
      <c r="K20" s="7"/>
      <c r="L20" s="7"/>
    </row>
    <row r="21" spans="1:12" ht="34.5" customHeight="1" x14ac:dyDescent="0.2">
      <c r="A21" s="7" t="s">
        <v>2311</v>
      </c>
      <c r="B21" s="7" t="s">
        <v>2312</v>
      </c>
      <c r="C21" s="7" t="s">
        <v>2313</v>
      </c>
      <c r="D21" s="8"/>
      <c r="E21" s="8"/>
      <c r="F21" s="8" t="s">
        <v>67</v>
      </c>
      <c r="G21" s="7" t="s">
        <v>3123</v>
      </c>
      <c r="H21" s="7" t="s">
        <v>3124</v>
      </c>
      <c r="I21" s="7" t="s">
        <v>71</v>
      </c>
      <c r="J21" s="7" t="s">
        <v>72</v>
      </c>
      <c r="K21" s="7"/>
      <c r="L21" s="7"/>
    </row>
    <row r="22" spans="1:12" ht="34.5" customHeight="1" x14ac:dyDescent="0.2">
      <c r="A22" s="7" t="s">
        <v>2314</v>
      </c>
      <c r="B22" s="7" t="s">
        <v>2315</v>
      </c>
      <c r="C22" s="7" t="s">
        <v>2316</v>
      </c>
      <c r="D22" s="8" t="s">
        <v>67</v>
      </c>
      <c r="E22" s="8"/>
      <c r="F22" s="8"/>
      <c r="G22" s="7" t="s">
        <v>3125</v>
      </c>
      <c r="H22" s="7" t="s">
        <v>3126</v>
      </c>
      <c r="I22" s="7" t="s">
        <v>71</v>
      </c>
      <c r="J22" s="7" t="s">
        <v>72</v>
      </c>
      <c r="K22" s="7"/>
      <c r="L22" s="7"/>
    </row>
    <row r="23" spans="1:12" ht="34.5" customHeight="1" x14ac:dyDescent="0.2">
      <c r="A23" s="7" t="s">
        <v>2317</v>
      </c>
      <c r="B23" s="7" t="s">
        <v>2318</v>
      </c>
      <c r="C23" s="7" t="s">
        <v>2319</v>
      </c>
      <c r="D23" s="8" t="s">
        <v>67</v>
      </c>
      <c r="E23" s="8" t="s">
        <v>67</v>
      </c>
      <c r="F23" s="8" t="s">
        <v>67</v>
      </c>
      <c r="G23" s="7" t="s">
        <v>3127</v>
      </c>
      <c r="H23" s="7" t="s">
        <v>3128</v>
      </c>
      <c r="I23" s="7" t="s">
        <v>71</v>
      </c>
      <c r="J23" s="7" t="s">
        <v>72</v>
      </c>
      <c r="K23" s="7"/>
      <c r="L23" s="7"/>
    </row>
  </sheetData>
  <autoFilter ref="A3:L23" xr:uid="{00000000-0009-0000-0000-000018000000}"/>
  <conditionalFormatting sqref="J4:J23">
    <cfRule type="cellIs" dxfId="2" priority="2" operator="equal">
      <formula>"Implemented"</formula>
    </cfRule>
    <cfRule type="cellIs" dxfId="1" priority="3" operator="equal">
      <formula>"Verified"</formula>
    </cfRule>
    <cfRule type="cellIs" dxfId="0" priority="4" operator="equal">
      <formula>"In progress"</formula>
    </cfRule>
  </conditionalFormatting>
  <dataValidations count="2">
    <dataValidation type="list" allowBlank="1" sqref="I4:I23" xr:uid="{00000000-0002-0000-1800-000000000000}">
      <formula1>"Yes,No"</formula1>
      <formula2>0</formula2>
    </dataValidation>
    <dataValidation type="list" allowBlank="1" sqref="J4:J23" xr:uid="{00000000-0002-0000-1800-000001000000}">
      <formula1>"Not started,In progress,Implemented,Verified,Not applicable"</formula1>
      <formula2>0</formula2>
    </dataValidation>
  </dataValidation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License &amp; Disclaimer</vt:lpstr>
      <vt:lpstr>Summary</vt:lpstr>
      <vt:lpstr>Read Me</vt:lpstr>
      <vt:lpstr>1 CIA-Security Controls</vt:lpstr>
      <vt:lpstr>2 Non-CIA (Other) Controls</vt:lpstr>
      <vt:lpstr>3 EU AI Act</vt:lpstr>
      <vt:lpstr>4 OECD AI Principles</vt:lpstr>
      <vt:lpstr>5 NIST AI RMF</vt:lpstr>
      <vt:lpstr>6 ISO 42005 Impact Assessment</vt:lpstr>
      <vt:lpstr>7 ISO 27001</vt:lpstr>
      <vt:lpstr>8 ISO 17021 Alignment</vt:lpstr>
      <vt:lpstr>9 GDPR</vt:lpstr>
      <vt:lpstr>10 OWASP LLM Top 10</vt:lpstr>
      <vt:lpstr>11 ISO 27701 PIMS</vt:lpstr>
      <vt:lpstr>12 Master Control List</vt:lpstr>
      <vt:lpstr>13 Domain Crosswalk</vt:lpstr>
      <vt:lpstr>14 Privacy by Design</vt:lpstr>
      <vt:lpstr>15 ISO 31700 PbD (Consumer)</vt:lpstr>
      <vt:lpstr>16 DORA</vt:lpstr>
      <vt:lpstr>17 NIST ARIA</vt:lpstr>
      <vt:lpstr>18 FAIR Risk Methodology</vt:lpstr>
      <vt:lpstr>19 Data Governance Register</vt:lpstr>
      <vt:lpstr>20 ISO 5181 Data Provenance</vt:lpstr>
      <vt:lpstr>21 ISO 27090 AI Threats</vt:lpstr>
      <vt:lpstr>22 MITRE ATLAS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 Controls Framework - Master Checklist</dc:title>
  <dc:creator>AI Controls Framework contributors</dc:creator>
  <dc:description>Apache-2.0. See License &amp; Disclaimer sheet.</dc:description>
  <cp:revision>0</cp:revision>
  <dcterms:created xsi:type="dcterms:W3CDTF">2026-09-21T08:01:41Z</dcterms:created>
  <dcterms:modified xsi:type="dcterms:W3CDTF">2026-10-21T17:11:57Z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b49b266-1ab9-41f3-8ca5-f5bccb742a55_Enabled">
    <vt:lpwstr>true</vt:lpwstr>
  </property>
  <property fmtid="{D5CDD505-2E9C-101B-9397-08002B2CF9AE}" pid="3" name="MSIP_Label_8b49b266-1ab9-41f3-8ca5-f5bccb742a55_SetDate">
    <vt:lpwstr>2026-10-21T17:11:57Z</vt:lpwstr>
  </property>
  <property fmtid="{D5CDD505-2E9C-101B-9397-08002B2CF9AE}" pid="4" name="MSIP_Label_8b49b266-1ab9-41f3-8ca5-f5bccb742a55_Method">
    <vt:lpwstr>Standard</vt:lpwstr>
  </property>
  <property fmtid="{D5CDD505-2E9C-101B-9397-08002B2CF9AE}" pid="5" name="MSIP_Label_8b49b266-1ab9-41f3-8ca5-f5bccb742a55_Name">
    <vt:lpwstr>Restricted</vt:lpwstr>
  </property>
  <property fmtid="{D5CDD505-2E9C-101B-9397-08002B2CF9AE}" pid="6" name="MSIP_Label_8b49b266-1ab9-41f3-8ca5-f5bccb742a55_SiteId">
    <vt:lpwstr>35ce61ea-2a69-4c72-837c-f38de143a7a3</vt:lpwstr>
  </property>
  <property fmtid="{D5CDD505-2E9C-101B-9397-08002B2CF9AE}" pid="7" name="MSIP_Label_8b49b266-1ab9-41f3-8ca5-f5bccb742a55_ActionId">
    <vt:lpwstr>b9ded8c6-ec71-4a1f-b8db-86374920976d</vt:lpwstr>
  </property>
  <property fmtid="{D5CDD505-2E9C-101B-9397-08002B2CF9AE}" pid="8" name="MSIP_Label_8b49b266-1ab9-41f3-8ca5-f5bccb742a55_ContentBits">
    <vt:lpwstr>1</vt:lpwstr>
  </property>
  <property fmtid="{D5CDD505-2E9C-101B-9397-08002B2CF9AE}" pid="9" name="MSIP_Label_8b49b266-1ab9-41f3-8ca5-f5bccb742a55_Tag">
    <vt:lpwstr>50, 3, 0, 1</vt:lpwstr>
  </property>
</Properties>
</file>